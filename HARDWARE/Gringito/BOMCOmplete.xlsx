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<sst xmlns="http://schemas.openxmlformats.org/spreadsheetml/2006/main" count="263" uniqueCount="193">
  <si>
    <t>Quantité</t>
  </si>
  <si>
    <t>Références</t>
  </si>
  <si>
    <t>Type</t>
  </si>
  <si>
    <t>Valeur / MPN</t>
  </si>
  <si>
    <t>Boîtier</t>
  </si>
  <si>
    <t>Spécifications et Filtres (Mouser / Digi-Key)</t>
  </si>
  <si>
    <t>ref</t>
  </si>
  <si>
    <t>Ref mouser</t>
  </si>
  <si>
    <t xml:space="preserve">Prix </t>
  </si>
  <si>
    <t xml:space="preserve">Stock ? </t>
  </si>
  <si>
    <t xml:space="preserve">A commander </t>
  </si>
  <si>
    <t>Prix a commander</t>
  </si>
  <si>
    <t>U4</t>
  </si>
  <si>
    <t>Puce</t>
  </si>
  <si>
    <t>BQ500212ARGZR</t>
  </si>
  <si>
    <t>VQFN-48</t>
  </si>
  <si>
    <t>Contrôleur Émetteur Qi</t>
  </si>
  <si>
    <t>https://www.mouser.fr/c/?q=BQ500212ARGZR</t>
  </si>
  <si>
    <t>U6</t>
  </si>
  <si>
    <t>BQ51013BRHLR</t>
  </si>
  <si>
    <t>VQFN-20</t>
  </si>
  <si>
    <t>Contrôleur Récepteur Qi</t>
  </si>
  <si>
    <t>https://www.mouser.fr/ProductDetail/Texas-Instruments/BQ51013BRHLR?qs=sGAEpiMZZMutXGli8Ay4kLd2ZFSo%252BmvptyIRZzk2vzg%3D</t>
  </si>
  <si>
    <t>U3, U5</t>
  </si>
  <si>
    <t>CSD97376Q4M</t>
  </si>
  <si>
    <t>VSON-8</t>
  </si>
  <si>
    <t>Power Stage NexFET</t>
  </si>
  <si>
    <t>https://www.mouser.fr/ProductDetail/Texas-Instruments/CSD97376Q4M?qs=7GxONfNUZSgNG7s2u94qUg%3D%3D</t>
  </si>
  <si>
    <t>U1, U8</t>
  </si>
  <si>
    <t>PTPS7A2033PDBVR</t>
  </si>
  <si>
    <t>SOT-23-5</t>
  </si>
  <si>
    <t>LDO 3.3V</t>
  </si>
  <si>
    <t>https://www.mouser.fr/ProductDetail/Texas-Instruments/TPS7A2033PDBVR?qs=hd1VzrDQEGjk%2FOBnRfKB4A%3D%3D</t>
  </si>
  <si>
    <t>U2</t>
  </si>
  <si>
    <t>INA199A1DCKR</t>
  </si>
  <si>
    <t>SC-70-6</t>
  </si>
  <si>
    <t>Amplificateur de mesure de courant</t>
  </si>
  <si>
    <t>https://www.mouser.fr/ProductDetail/Texas-Instruments/INA199A1DCKR?qs=v3hU%2FV0XOahkyIKIBScY5Q%3D%3D</t>
  </si>
  <si>
    <t>U7</t>
  </si>
  <si>
    <t>MCP73831T-2ATI/OT</t>
  </si>
  <si>
    <t>Chargeur Li-Ion</t>
  </si>
  <si>
    <t>https://www.mouser.fr/ProductDetail/Microchip-Technology/MCP73831T-2ATI-OT?qs=yUQqVecv4qsZbioEUu%252B83g%3D%3D</t>
  </si>
  <si>
    <t>C7</t>
  </si>
  <si>
    <t>Condensateur</t>
  </si>
  <si>
    <t>33pF</t>
  </si>
  <si>
    <t>Diélectrique C0G/NP0, Tension 50V min</t>
  </si>
  <si>
    <t>VJ0805A330KXAAC</t>
  </si>
  <si>
    <t>https://www.mouser.fr/ProductDetail/Vishay-Vitramon/VJ0805A330KXAAC?qs=%252BzNVVDDlEaF%2FJI7KaxLPoQ%3D%3D</t>
  </si>
  <si>
    <t xml:space="preserve">Prix total </t>
  </si>
  <si>
    <t>C12, C17</t>
  </si>
  <si>
    <t>4.7nF (4700pF)</t>
  </si>
  <si>
    <t>CGA4C2C0G1H472J</t>
  </si>
  <si>
    <t>https://www.mouser.fr/ProductDetail/TDK/CGA4C2C0G1H472J060AA?qs=FxQuwy19cyCgdYzJw5%252BHfA%3D%3D</t>
  </si>
  <si>
    <t>C1, C20, C36, C42</t>
  </si>
  <si>
    <t>0.01µF (10nF)</t>
  </si>
  <si>
    <t>CGA4C2C0G1H103J</t>
  </si>
  <si>
    <t>https://www.mouser.fr/ProductDetail/TDK/C2012C0G1H103J060AA?qs=dfay7wIA1uESihXTlxZAiQ%3D%3D</t>
  </si>
  <si>
    <t>C32, C44</t>
  </si>
  <si>
    <t>22nF</t>
  </si>
  <si>
    <t>CGA4J2C0G1H223J</t>
  </si>
  <si>
    <t>https://www.mouser.fr/ProductDetail/TDK/CGA4J2C0G1H223J125AA?qs=NRhsANhppD%252B%2Fmt276RAXag%3D%3D</t>
  </si>
  <si>
    <t>C34, C43</t>
  </si>
  <si>
    <t>0.47µF (470nF)</t>
  </si>
  <si>
    <t>Diélectrique X7R, Tension 50V min</t>
  </si>
  <si>
    <t>C0805C474J5REC7210</t>
  </si>
  <si>
    <t>https://www.mouser.fr/ProductDetail/KEMET/C0805C474J5REC7210?qs=55YtniHzbhBIB%252B2OjgsYHA%3D%3D</t>
  </si>
  <si>
    <t>C37, C38, C39, C40, C41</t>
  </si>
  <si>
    <t>TDB</t>
  </si>
  <si>
    <t>Prévoir des assortiments C0G de quelques nF pour le réglage au labo</t>
  </si>
  <si>
    <t>Pour C37 à C41</t>
  </si>
  <si>
    <t>2.2 nF (2200 pF)</t>
  </si>
  <si>
    <t>CGA4J3C0G2E222J</t>
  </si>
  <si>
    <t>https://www.mouser.fr/ProductDetail/TDK/CGA4J3C0G2E222J125AA?qs=FxQuwy19cyAnpWAkJxMUqQ%3D%3D</t>
  </si>
  <si>
    <t>1 nF (1000 pF)</t>
  </si>
  <si>
    <t>AC805JRNPO0BN102</t>
  </si>
  <si>
    <t>https://www.mouser.fr/ProductDetail/YAGEO/AC0805JRNPO0BN102?qs=WS5Jv%252B%252Bx1qWv6SGJfntmZw%3D%3D</t>
  </si>
  <si>
    <t>470 pF</t>
  </si>
  <si>
    <t>CC0805JPNPO9BN471</t>
  </si>
  <si>
    <t>https://www.mouser.fr/ProductDetail/YAGEO/CC0805JPNPO9BN471?qs=7s%252B3O6pAiyArhfcZRyQSXQ%3D%3D</t>
  </si>
  <si>
    <t>220 pF</t>
  </si>
  <si>
    <t>CGA4C4C0G2W221J060AA</t>
  </si>
  <si>
    <t>https://www.mouser.fr/ProductDetail/TDK/CGA4C4C0G2W221J060AA?qs=Zt%252BKPUOg4ocV%252BjuYZYAGHQ%3D%3D</t>
  </si>
  <si>
    <t>100 pF</t>
  </si>
  <si>
    <t xml:space="preserve">AVEC C16 C18 </t>
  </si>
  <si>
    <t>47 pF</t>
  </si>
  <si>
    <t>C0805C470JDGACTU</t>
  </si>
  <si>
    <t>https://www.mouser.fr/ProductDetail/KEMET/C0805C470JDGACTU?qs=HkDAmeg8w%252BfhZX5bPX%2F3Fg%3D%3D</t>
  </si>
  <si>
    <t>22 pF</t>
  </si>
  <si>
    <t>VJ0805A220JXCCW1BC</t>
  </si>
  <si>
    <t>https://www.mouser.fr/ProductDetail/Vishay-Vitramon/VJ0805A220JXCCW1BC?qs=5N7VPDfziMRebYDFq5t7Jw%3D%3D</t>
  </si>
  <si>
    <t>C2, C13, C25, C29</t>
  </si>
  <si>
    <t>10µF</t>
  </si>
  <si>
    <t>Diélectrique X5R ou X7R, Tension 50V min</t>
  </si>
  <si>
    <t>GRM21BR61H106KE43L</t>
  </si>
  <si>
    <t>https://www.mouser.fr/ProductDetail/Murata-Electronics/GRM21BR61H106KE43L?qs=lYGu3FyN48cBZlIduWKclg%3D%3D</t>
  </si>
  <si>
    <t>C9, C14</t>
  </si>
  <si>
    <t>4.7µF</t>
  </si>
  <si>
    <t>Diélectrique X5R ou X7R, Tension 25V min</t>
  </si>
  <si>
    <t>CGA4J1X7R1H475K125AC</t>
  </si>
  <si>
    <t>https://www.mouser.fr/ProductDetail/TDK/CGA4J1X7R1H475K125AC?qs=PqoDHHvF64%252BmskN2S82T2g%3D%3D</t>
  </si>
  <si>
    <t>C3, C4, C8, C10, C15, C22, C26, C27, C30, C31, C33, C35</t>
  </si>
  <si>
    <t>1µF</t>
  </si>
  <si>
    <t>Diélectrique X7R, Tension 25V min</t>
  </si>
  <si>
    <t>C2012X7R1H105K</t>
  </si>
  <si>
    <t>https://www.mouser.fr/ProductDetail/TDK/C2012X7R1H105K125AB?qs=NRhsANhppD9AlYlb8kBg7Q%3D%3D</t>
  </si>
  <si>
    <t>C5, C6, C11, C23, C24, C28</t>
  </si>
  <si>
    <t>0.1µF (100nF)</t>
  </si>
  <si>
    <t>KAF21KR72A104KL</t>
  </si>
  <si>
    <t>https://www.mouser.fr/ProductDetail/KYOCERA-AVX/KAF21KR72A104KL?qs=Jm2GQyTW%2FbiUCISqVwD%2FLA%3D%3D</t>
  </si>
  <si>
    <t>C16, C18, C19, C21</t>
  </si>
  <si>
    <t>C3216C0G2A104J6C</t>
  </si>
  <si>
    <t>https://www.mouser.fr/ProductDetail/TDK/C3216C0G2A104J160AC?qs=sO%2FZ8XQFeM2ox3y9zt3TJw%3D%3D</t>
  </si>
  <si>
    <t>R3</t>
  </si>
  <si>
    <t>Résistance</t>
  </si>
  <si>
    <t>20 mΩ</t>
  </si>
  <si>
    <t>Tolérance 1%, Current Sense, Puissance 0.25W ou 0.5W</t>
  </si>
  <si>
    <t>652-CFN0805FXR020ELF</t>
  </si>
  <si>
    <t>https://www.mouser.fr/ProductDetail/Bourns/CFN0805-FX-R020ELF?qs=gZXFycFWdAOZ7fJXWmOzdA%3D%3D</t>
  </si>
  <si>
    <t>R13, R15, R18, R19, R20</t>
  </si>
  <si>
    <t>56.2 kΩ</t>
  </si>
  <si>
    <t>Tolérance 1% 50 PPM 0.125W</t>
  </si>
  <si>
    <t>RGC1/10C5622FTP</t>
  </si>
  <si>
    <t>https://www.mouser.fr/ProductDetail/Kamaya/RGC1-10C5622FTP?qs=GedFDFLaBXGddNBPdrL7hA%3D%3D</t>
  </si>
  <si>
    <t>R9</t>
  </si>
  <si>
    <t>12.1 kΩ</t>
  </si>
  <si>
    <t>RT0805FRE0712K1L</t>
  </si>
  <si>
    <t>https://www.mouser.fr/ProductDetail/YAGEO/RT0805FRE0712K1L?qs=sGAEpiMZZMvdGkrng054t4PceZtIQCwRlX6dL%252BLACT8%3D</t>
  </si>
  <si>
    <t>R12</t>
  </si>
  <si>
    <t>76.8 kΩ</t>
  </si>
  <si>
    <t>RT0805FRE0776K8L</t>
  </si>
  <si>
    <t>https://www.mouser.fr/ProductDetail/YAGEO/RT0805FRE0776K8L?qs=sGAEpiMZZMvdGkrng054t01EY%252BddBKhiFjAm36P6UGw%3D</t>
  </si>
  <si>
    <t>R26</t>
  </si>
  <si>
    <t>140 Ω</t>
  </si>
  <si>
    <t>RT0805FRE07140RL</t>
  </si>
  <si>
    <t>https://www.mouser.fr/ProductDetail/YAGEO/RT0805FRE07140RL?qs=sGAEpiMZZMvdGkrng054t98Xz4DA4UW4bFW4LYzjMtg%3D</t>
  </si>
  <si>
    <t>R28</t>
  </si>
  <si>
    <t>360 Ω</t>
  </si>
  <si>
    <t>RT0805FRE07360RL</t>
  </si>
  <si>
    <t>https://www.mouser.fr/ProductDetail/YAGEO/RT0805FRE07360RL?qs=sGAEpiMZZMvdGkrng054t98Xz4DA4UW4S2KRqZkM0LQ%3D</t>
  </si>
  <si>
    <t>R2, R4</t>
  </si>
  <si>
    <t>1 Ω</t>
  </si>
  <si>
    <t>RT0805FRE131RL</t>
  </si>
  <si>
    <t>https://www.mouser.fr/ProductDetail/YAGEO/RT0805FRE131RL?qs=sGAEpiMZZMvdGkrng054t7z4BkURc4LzDN7j3pLdgrmiUiSkcdHGLQ%3D%3D</t>
  </si>
  <si>
    <t>R5, R10</t>
  </si>
  <si>
    <t>10 Ω</t>
  </si>
  <si>
    <t>RE0805FRE0710RL</t>
  </si>
  <si>
    <t>https://www.mouser.fr/ProductDetail/YAGEO/RE0805FRE0710RL?qs=sGAEpiMZZMvdGkrng054txKsa61JPVaKU6lpEP28x7tdTAAdaUzZLA%3D%3D</t>
  </si>
  <si>
    <t>R24, R25</t>
  </si>
  <si>
    <t>470 Ω</t>
  </si>
  <si>
    <t>RT0805FRE13470RL</t>
  </si>
  <si>
    <t>https://www.mouser.fr/ProductDetail/YAGEO/RT0805FRE13470RL?qs=sGAEpiMZZMvdGkrng054t7z4BkURc4Lzeu1Z9uZcJ6hUpv9aGFB7rw%3D%3D</t>
  </si>
  <si>
    <t>R1</t>
  </si>
  <si>
    <t>1 kΩ</t>
  </si>
  <si>
    <t>RT0805FRE101KL</t>
  </si>
  <si>
    <t>https://www.mouser.fr/ProductDetail/YAGEO/RT0805FRE101KL?qs=sGAEpiMZZMvdGkrng054t7z4BkURc4LzeRkoFIkEnERPTuObq6rkaw%3D%3D</t>
  </si>
  <si>
    <t>R21, R22</t>
  </si>
  <si>
    <t>3.6 kΩ</t>
  </si>
  <si>
    <t>RT0805FRE073K6L</t>
  </si>
  <si>
    <t>https://www.mouser.fr/ProductDetail/YAGEO/RT0805FRE073K6L?qs=sGAEpiMZZMvdGkrng054t98Xz4DA4UW4H0sQAQZ78zw%3D</t>
  </si>
  <si>
    <t>R6, R7</t>
  </si>
  <si>
    <t>5.1 kΩ</t>
  </si>
  <si>
    <t>RT0805FRE075K1L</t>
  </si>
  <si>
    <t>https://www.mouser.fr/ProductDetail/YAGEO/RT0805FRE075K1L?qs=sGAEpiMZZMvdGkrng054t85Q6Sw4jF830a1J%2FNfUkDY%3D</t>
  </si>
  <si>
    <t>R8, R14, R16, R23, R27</t>
  </si>
  <si>
    <t>10 kΩ</t>
  </si>
  <si>
    <t>RE0805FRE1010KL</t>
  </si>
  <si>
    <t>https://www.mouser.fr/ProductDetail/YAGEO/RE0805FRE1010KL?qs=sGAEpiMZZMvdGkrng054t7z4BkURc4LzrMoPipTJQs9OQ%2FsbdXLY4w%3D%3D</t>
  </si>
  <si>
    <t>R29</t>
  </si>
  <si>
    <t>33 kΩ</t>
  </si>
  <si>
    <t>RT0805DRE0733KL</t>
  </si>
  <si>
    <t>https://www.mouser.fr/ProductDetail/YAGEO/RT0805DRE0733KL?qs=sGAEpiMZZMvdGkrng054t98Xz4DA4UW4E2crgyBxdeA%3D</t>
  </si>
  <si>
    <t>R11</t>
  </si>
  <si>
    <t>100 kΩ</t>
  </si>
  <si>
    <t>RT0805DRE07100KL</t>
  </si>
  <si>
    <t>https://www.mouser.fr/ProductDetail/YAGEO/RT0805DRE07100KL?qs=sGAEpiMZZMvdGkrng054t98Xz4DA4UW4obdZ51RqQ4E%3D</t>
  </si>
  <si>
    <t>R17</t>
  </si>
  <si>
    <t>NTC</t>
  </si>
  <si>
    <t>10 kΩ à 25°C</t>
  </si>
  <si>
    <t>Thermistance NTC, Beta (B) proche de 3380K</t>
  </si>
  <si>
    <t>B57442V5103J62</t>
  </si>
  <si>
    <t>https://www.mouser.fr/ProductDetail/TDK/B57442V5103J062?qs=xhbEVWpZdWcRenkX1j5YRA%3D%3D</t>
  </si>
  <si>
    <t>D1, D2</t>
  </si>
  <si>
    <t>Diode</t>
  </si>
  <si>
    <t>LED</t>
  </si>
  <si>
    <t>LED CMS</t>
  </si>
  <si>
    <t>CMD17-21VRC/TR8</t>
  </si>
  <si>
    <t>https://www.mouser.fr/ProductDetail/VCC/CMD17-21VRC-TR8?qs=sGAEpiMZZMv0DJfhVcWlK8AiAHwfAGPKl02p24KiHvY%3D</t>
  </si>
  <si>
    <t>J1</t>
  </si>
  <si>
    <t>Connecteur</t>
  </si>
  <si>
    <t>USB4135-GF-A</t>
  </si>
  <si>
    <t>THT/SMD</t>
  </si>
  <si>
    <t>Port USB-C 6 broches (Power Only) GCT ou équivalent</t>
  </si>
  <si>
    <t>https://www.mouser.fr/ProductDetail/GCT/USB4135-GF-A?qs=Li%252BoUPsLEnt6HRo6RUvaXA%3D%3D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</si>
</sst>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u/>
      <color rgb="FF0000FF"/>
    </font>
    <font>
      <u/>
      <color rgb="FF0000FF"/>
    </font>
    <font>
      <sz val="9.0"/>
      <color rgb="FF333333"/>
      <name val="Arial"/>
    </font>
    <font>
      <sz val="12.0"/>
      <color rgb="FF333333"/>
      <name val="Arial"/>
    </font>
    <font>
      <i/>
      <color rgb="FF1F1F1F"/>
      <name val="&quot;Google Sans Text&quot;"/>
    </font>
    <font>
      <color rgb="FF1F1F1F"/>
      <name val="Google Sans Text"/>
    </font>
    <font>
      <b/>
      <color rgb="FF1F1F1F"/>
      <name val="Google Sans Text"/>
    </font>
    <font>
      <u/>
      <color rgb="FF0000FF"/>
      <name val="Arial"/>
    </font>
    <font>
      <color theme="1"/>
      <name val="Arial"/>
    </font>
    <font>
      <sz val="9.0"/>
      <color theme="1"/>
      <name val="Arial"/>
    </font>
    <font>
      <u/>
      <sz val="9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top style="thin">
        <color rgb="FFD9D9D9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Font="1"/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3" fontId="7" numFmtId="0" xfId="0" applyAlignment="1" applyFont="1">
      <alignment horizontal="left" readingOrder="0"/>
    </xf>
    <xf borderId="0" fillId="0" fontId="9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vertical="bottom"/>
    </xf>
    <xf borderId="1" fillId="3" fontId="13" numFmtId="0" xfId="0" applyAlignment="1" applyBorder="1" applyFont="1">
      <alignment readingOrder="0" shrinkToFit="0" vertical="top" wrapText="1"/>
    </xf>
    <xf borderId="1" fillId="3" fontId="1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ouser.fr/ProductDetail/GCT/USB4135-GF-A?qs=Li%252BoUPsLEnt6HRo6RUvaXA%3D%3D" TargetMode="External"/><Relationship Id="rId20" Type="http://schemas.openxmlformats.org/officeDocument/2006/relationships/hyperlink" Target="https://www.mouser.fr/ProductDetail/TDK/C2012X7R1H105K125AB?qs=NRhsANhppD9AlYlb8kBg7Q%3D%3D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mouser.fr/ProductDetail/TDK/C3216C0G2A104J160AC?qs=sO%2FZ8XQFeM2ox3y9zt3TJw%3D%3D" TargetMode="External"/><Relationship Id="rId21" Type="http://schemas.openxmlformats.org/officeDocument/2006/relationships/hyperlink" Target="https://www.mouser.fr/ProductDetail/KYOCERA-AVX/KAF21KR72A104KL?qs=Jm2GQyTW%2FbiUCISqVwD%2FLA%3D%3D" TargetMode="External"/><Relationship Id="rId24" Type="http://schemas.openxmlformats.org/officeDocument/2006/relationships/hyperlink" Target="https://www.mouser.fr/ProductDetail/Kamaya/RGC1-10C5622FTP?qs=GedFDFLaBXGddNBPdrL7hA%3D%3D" TargetMode="External"/><Relationship Id="rId23" Type="http://schemas.openxmlformats.org/officeDocument/2006/relationships/hyperlink" Target="https://www.mouser.fr/ProductDetail/Bourns/CFN0805-FX-R020ELF?qs=gZXFycFWdAOZ7fJXWmOzdA%3D%3D" TargetMode="External"/><Relationship Id="rId1" Type="http://schemas.openxmlformats.org/officeDocument/2006/relationships/hyperlink" Target="https://www.mouser.fr/c/?q=BQ500212ARGZR" TargetMode="External"/><Relationship Id="rId2" Type="http://schemas.openxmlformats.org/officeDocument/2006/relationships/hyperlink" Target="https://www.mouser.fr/ProductDetail/Texas-Instruments/BQ51013BRHLR?qs=sGAEpiMZZMutXGli8Ay4kLd2ZFSo%252BmvptyIRZzk2vzg%3D" TargetMode="External"/><Relationship Id="rId3" Type="http://schemas.openxmlformats.org/officeDocument/2006/relationships/hyperlink" Target="https://www.mouser.fr/ProductDetail/Texas-Instruments/CSD97376Q4M?qs=7GxONfNUZSgNG7s2u94qUg%3D%3D" TargetMode="External"/><Relationship Id="rId4" Type="http://schemas.openxmlformats.org/officeDocument/2006/relationships/hyperlink" Target="https://www.mouser.fr/ProductDetail/Texas-Instruments/TPS7A2033PDBVR?qs=hd1VzrDQEGjk%2FOBnRfKB4A%3D%3D" TargetMode="External"/><Relationship Id="rId9" Type="http://schemas.openxmlformats.org/officeDocument/2006/relationships/hyperlink" Target="https://www.mouser.fr/ProductDetail/TDK/C2012C0G1H103J060AA?qs=dfay7wIA1uESihXTlxZAiQ%3D%3D" TargetMode="External"/><Relationship Id="rId26" Type="http://schemas.openxmlformats.org/officeDocument/2006/relationships/hyperlink" Target="https://www.mouser.fr/ProductDetail/YAGEO/RT0805FRE0776K8L?qs=sGAEpiMZZMvdGkrng054t01EY%252BddBKhiFjAm36P6UGw%3D" TargetMode="External"/><Relationship Id="rId25" Type="http://schemas.openxmlformats.org/officeDocument/2006/relationships/hyperlink" Target="https://www.mouser.fr/ProductDetail/YAGEO/RT0805FRE0712K1L?qs=sGAEpiMZZMvdGkrng054t4PceZtIQCwRlX6dL%252BLACT8%3D" TargetMode="External"/><Relationship Id="rId28" Type="http://schemas.openxmlformats.org/officeDocument/2006/relationships/hyperlink" Target="https://www.mouser.fr/ProductDetail/YAGEO/RT0805FRE07360RL?qs=sGAEpiMZZMvdGkrng054t98Xz4DA4UW4S2KRqZkM0LQ%3D" TargetMode="External"/><Relationship Id="rId27" Type="http://schemas.openxmlformats.org/officeDocument/2006/relationships/hyperlink" Target="https://www.mouser.fr/ProductDetail/YAGEO/RT0805FRE07140RL?qs=sGAEpiMZZMvdGkrng054t98Xz4DA4UW4bFW4LYzjMtg%3D" TargetMode="External"/><Relationship Id="rId5" Type="http://schemas.openxmlformats.org/officeDocument/2006/relationships/hyperlink" Target="https://www.mouser.fr/ProductDetail/Texas-Instruments/INA199A1DCKR?qs=v3hU%2FV0XOahkyIKIBScY5Q%3D%3D" TargetMode="External"/><Relationship Id="rId6" Type="http://schemas.openxmlformats.org/officeDocument/2006/relationships/hyperlink" Target="https://www.mouser.fr/ProductDetail/Microchip-Technology/MCP73831T-2ATI-OT?qs=yUQqVecv4qsZbioEUu%252B83g%3D%3D" TargetMode="External"/><Relationship Id="rId29" Type="http://schemas.openxmlformats.org/officeDocument/2006/relationships/hyperlink" Target="https://www.mouser.fr/ProductDetail/YAGEO/RT0805FRE131RL?qs=sGAEpiMZZMvdGkrng054t7z4BkURc4LzDN7j3pLdgrmiUiSkcdHGLQ%3D%3D" TargetMode="External"/><Relationship Id="rId7" Type="http://schemas.openxmlformats.org/officeDocument/2006/relationships/hyperlink" Target="https://www.mouser.fr/ProductDetail/Vishay-Vitramon/VJ0805A330KXAAC?qs=%252BzNVVDDlEaF%2FJI7KaxLPoQ%3D%3D" TargetMode="External"/><Relationship Id="rId8" Type="http://schemas.openxmlformats.org/officeDocument/2006/relationships/hyperlink" Target="https://www.mouser.fr/ProductDetail/TDK/CGA4C2C0G1H472J060AA?qs=FxQuwy19cyCgdYzJw5%252BHfA%3D%3D" TargetMode="External"/><Relationship Id="rId31" Type="http://schemas.openxmlformats.org/officeDocument/2006/relationships/hyperlink" Target="https://www.mouser.fr/ProductDetail/YAGEO/RT0805FRE13470RL?qs=sGAEpiMZZMvdGkrng054t7z4BkURc4Lzeu1Z9uZcJ6hUpv9aGFB7rw%3D%3D" TargetMode="External"/><Relationship Id="rId30" Type="http://schemas.openxmlformats.org/officeDocument/2006/relationships/hyperlink" Target="https://www.mouser.fr/ProductDetail/YAGEO/RE0805FRE0710RL?qs=sGAEpiMZZMvdGkrng054txKsa61JPVaKU6lpEP28x7tdTAAdaUzZLA%3D%3D" TargetMode="External"/><Relationship Id="rId11" Type="http://schemas.openxmlformats.org/officeDocument/2006/relationships/hyperlink" Target="https://www.mouser.fr/ProductDetail/KEMET/C0805C474J5REC7210?qs=55YtniHzbhBIB%252B2OjgsYHA%3D%3D" TargetMode="External"/><Relationship Id="rId33" Type="http://schemas.openxmlformats.org/officeDocument/2006/relationships/hyperlink" Target="https://www.mouser.fr/ProductDetail/YAGEO/RT0805FRE073K6L?qs=sGAEpiMZZMvdGkrng054t98Xz4DA4UW4H0sQAQZ78zw%3D" TargetMode="External"/><Relationship Id="rId10" Type="http://schemas.openxmlformats.org/officeDocument/2006/relationships/hyperlink" Target="https://www.mouser.fr/ProductDetail/TDK/CGA4J2C0G1H223J125AA?qs=NRhsANhppD%252B%2Fmt276RAXag%3D%3D" TargetMode="External"/><Relationship Id="rId32" Type="http://schemas.openxmlformats.org/officeDocument/2006/relationships/hyperlink" Target="https://www.mouser.fr/ProductDetail/YAGEO/RT0805FRE101KL?qs=sGAEpiMZZMvdGkrng054t7z4BkURc4LzeRkoFIkEnERPTuObq6rkaw%3D%3D" TargetMode="External"/><Relationship Id="rId13" Type="http://schemas.openxmlformats.org/officeDocument/2006/relationships/hyperlink" Target="https://www.mouser.fr/ProductDetail/YAGEO/AC0805JRNPO0BN102?qs=WS5Jv%252B%252Bx1qWv6SGJfntmZw%3D%3D" TargetMode="External"/><Relationship Id="rId35" Type="http://schemas.openxmlformats.org/officeDocument/2006/relationships/hyperlink" Target="https://www.mouser.fr/ProductDetail/YAGEO/RE0805FRE1010KL?qs=sGAEpiMZZMvdGkrng054t7z4BkURc4LzrMoPipTJQs9OQ%2FsbdXLY4w%3D%3D" TargetMode="External"/><Relationship Id="rId12" Type="http://schemas.openxmlformats.org/officeDocument/2006/relationships/hyperlink" Target="https://www.mouser.fr/ProductDetail/TDK/CGA4J3C0G2E222J125AA?qs=FxQuwy19cyAnpWAkJxMUqQ%3D%3D" TargetMode="External"/><Relationship Id="rId34" Type="http://schemas.openxmlformats.org/officeDocument/2006/relationships/hyperlink" Target="https://www.mouser.fr/ProductDetail/YAGEO/RT0805FRE075K1L?qs=sGAEpiMZZMvdGkrng054t85Q6Sw4jF830a1J%2FNfUkDY%3D" TargetMode="External"/><Relationship Id="rId15" Type="http://schemas.openxmlformats.org/officeDocument/2006/relationships/hyperlink" Target="https://www.mouser.fr/ProductDetail/TDK/CGA4C4C0G2W221J060AA?qs=Zt%252BKPUOg4ocV%252BjuYZYAGHQ%3D%3D" TargetMode="External"/><Relationship Id="rId37" Type="http://schemas.openxmlformats.org/officeDocument/2006/relationships/hyperlink" Target="https://www.mouser.fr/ProductDetail/YAGEO/RT0805DRE07100KL?qs=sGAEpiMZZMvdGkrng054t98Xz4DA4UW4obdZ51RqQ4E%3D" TargetMode="External"/><Relationship Id="rId14" Type="http://schemas.openxmlformats.org/officeDocument/2006/relationships/hyperlink" Target="https://www.mouser.fr/ProductDetail/YAGEO/CC0805JPNPO9BN471?qs=7s%252B3O6pAiyArhfcZRyQSXQ%3D%3D" TargetMode="External"/><Relationship Id="rId36" Type="http://schemas.openxmlformats.org/officeDocument/2006/relationships/hyperlink" Target="https://www.mouser.fr/ProductDetail/YAGEO/RT0805DRE0733KL?qs=sGAEpiMZZMvdGkrng054t98Xz4DA4UW4E2crgyBxdeA%3D" TargetMode="External"/><Relationship Id="rId17" Type="http://schemas.openxmlformats.org/officeDocument/2006/relationships/hyperlink" Target="https://www.mouser.fr/ProductDetail/Vishay-Vitramon/VJ0805A220JXCCW1BC?qs=5N7VPDfziMRebYDFq5t7Jw%3D%3D" TargetMode="External"/><Relationship Id="rId39" Type="http://schemas.openxmlformats.org/officeDocument/2006/relationships/hyperlink" Target="https://www.mouser.fr/ProductDetail/VCC/CMD17-21VRC-TR8?qs=sGAEpiMZZMv0DJfhVcWlK8AiAHwfAGPKl02p24KiHvY%3D" TargetMode="External"/><Relationship Id="rId16" Type="http://schemas.openxmlformats.org/officeDocument/2006/relationships/hyperlink" Target="https://www.mouser.fr/ProductDetail/KEMET/C0805C470JDGACTU?qs=HkDAmeg8w%252BfhZX5bPX%2F3Fg%3D%3D" TargetMode="External"/><Relationship Id="rId38" Type="http://schemas.openxmlformats.org/officeDocument/2006/relationships/hyperlink" Target="https://www.mouser.fr/ProductDetail/TDK/B57442V5103J062?qs=xhbEVWpZdWcRenkX1j5YRA%3D%3D" TargetMode="External"/><Relationship Id="rId19" Type="http://schemas.openxmlformats.org/officeDocument/2006/relationships/hyperlink" Target="https://www.mouser.fr/ProductDetail/TDK/CGA4J1X7R1H475K125AC?qs=PqoDHHvF64%252BmskN2S82T2g%3D%3D" TargetMode="External"/><Relationship Id="rId18" Type="http://schemas.openxmlformats.org/officeDocument/2006/relationships/hyperlink" Target="https://www.mouser.fr/ProductDetail/Murata-Electronics/GRM21BR61H106KE43L?qs=lYGu3FyN48cBZlIduWKcl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5.88"/>
    <col customWidth="1" min="4" max="4" width="17.38"/>
    <col customWidth="1" min="5" max="5" width="9.25"/>
    <col customWidth="1" min="6" max="6" width="29.5"/>
    <col customWidth="1" min="7" max="7" width="15.0"/>
    <col customWidth="1" min="8" max="8" width="29.38"/>
    <col customWidth="1" min="9" max="9" width="9.25"/>
    <col customWidth="1" min="10" max="10" width="5.13"/>
    <col customWidth="1" min="11" max="11" width="5.63"/>
    <col customWidth="1" min="12" max="12" width="9.63"/>
    <col customWidth="1" min="13" max="13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K1" s="3" t="s">
        <v>9</v>
      </c>
      <c r="L1" s="3" t="s">
        <v>10</v>
      </c>
      <c r="M1" s="3" t="s">
        <v>11</v>
      </c>
    </row>
    <row r="2">
      <c r="A2" s="1">
        <v>1.0</v>
      </c>
      <c r="B2" s="1" t="s">
        <v>12</v>
      </c>
      <c r="C2" s="1" t="s">
        <v>13</v>
      </c>
      <c r="D2" s="4" t="s">
        <v>14</v>
      </c>
      <c r="E2" s="1" t="s">
        <v>15</v>
      </c>
      <c r="F2" s="1" t="s">
        <v>16</v>
      </c>
      <c r="G2" s="5"/>
      <c r="H2" s="6" t="s">
        <v>17</v>
      </c>
      <c r="I2" s="2">
        <v>7.62</v>
      </c>
      <c r="K2" s="3">
        <v>6.0</v>
      </c>
      <c r="L2" s="3">
        <v>0.0</v>
      </c>
      <c r="M2" s="7">
        <f t="shared" ref="M2:M43" si="1"> I2*L2</f>
        <v>0</v>
      </c>
    </row>
    <row r="3">
      <c r="A3" s="1">
        <v>1.0</v>
      </c>
      <c r="B3" s="1" t="s">
        <v>18</v>
      </c>
      <c r="C3" s="1" t="s">
        <v>13</v>
      </c>
      <c r="D3" s="4" t="s">
        <v>19</v>
      </c>
      <c r="E3" s="1" t="s">
        <v>20</v>
      </c>
      <c r="F3" s="1" t="s">
        <v>21</v>
      </c>
      <c r="G3" s="5"/>
      <c r="H3" s="8" t="s">
        <v>22</v>
      </c>
      <c r="I3" s="2">
        <v>3.1</v>
      </c>
      <c r="K3" s="3">
        <v>1.0</v>
      </c>
      <c r="L3" s="3">
        <v>2.0</v>
      </c>
      <c r="M3" s="7">
        <f t="shared" si="1"/>
        <v>6.2</v>
      </c>
    </row>
    <row r="4">
      <c r="A4" s="1">
        <v>2.0</v>
      </c>
      <c r="B4" s="1" t="s">
        <v>23</v>
      </c>
      <c r="C4" s="1" t="s">
        <v>13</v>
      </c>
      <c r="D4" s="4" t="s">
        <v>24</v>
      </c>
      <c r="E4" s="1" t="s">
        <v>25</v>
      </c>
      <c r="F4" s="1" t="s">
        <v>26</v>
      </c>
      <c r="G4" s="5"/>
      <c r="H4" s="6" t="s">
        <v>27</v>
      </c>
      <c r="I4" s="2">
        <v>1.85</v>
      </c>
      <c r="K4" s="3">
        <v>0.0</v>
      </c>
      <c r="L4" s="3">
        <v>6.0</v>
      </c>
      <c r="M4" s="7">
        <f t="shared" si="1"/>
        <v>11.1</v>
      </c>
    </row>
    <row r="5">
      <c r="A5" s="1">
        <v>2.0</v>
      </c>
      <c r="B5" s="1" t="s">
        <v>28</v>
      </c>
      <c r="C5" s="1" t="s">
        <v>13</v>
      </c>
      <c r="D5" s="4" t="s">
        <v>29</v>
      </c>
      <c r="E5" s="1" t="s">
        <v>30</v>
      </c>
      <c r="F5" s="1" t="s">
        <v>31</v>
      </c>
      <c r="G5" s="5"/>
      <c r="H5" s="8" t="s">
        <v>32</v>
      </c>
      <c r="I5" s="2">
        <v>0.275</v>
      </c>
      <c r="K5" s="3">
        <v>0.0</v>
      </c>
      <c r="L5" s="3">
        <v>6.0</v>
      </c>
      <c r="M5" s="7">
        <f t="shared" si="1"/>
        <v>1.65</v>
      </c>
    </row>
    <row r="6">
      <c r="A6" s="1">
        <v>1.0</v>
      </c>
      <c r="B6" s="1" t="s">
        <v>33</v>
      </c>
      <c r="C6" s="1" t="s">
        <v>13</v>
      </c>
      <c r="D6" s="4" t="s">
        <v>34</v>
      </c>
      <c r="E6" s="1" t="s">
        <v>35</v>
      </c>
      <c r="F6" s="1" t="s">
        <v>36</v>
      </c>
      <c r="G6" s="5"/>
      <c r="H6" s="8" t="s">
        <v>37</v>
      </c>
      <c r="I6" s="2">
        <v>0.499</v>
      </c>
      <c r="K6" s="3">
        <v>0.0</v>
      </c>
      <c r="L6" s="3">
        <v>3.0</v>
      </c>
      <c r="M6" s="7">
        <f t="shared" si="1"/>
        <v>1.497</v>
      </c>
    </row>
    <row r="7">
      <c r="A7" s="1">
        <v>1.0</v>
      </c>
      <c r="B7" s="1" t="s">
        <v>38</v>
      </c>
      <c r="C7" s="1" t="s">
        <v>13</v>
      </c>
      <c r="D7" s="4" t="s">
        <v>39</v>
      </c>
      <c r="E7" s="1" t="s">
        <v>30</v>
      </c>
      <c r="F7" s="1" t="s">
        <v>40</v>
      </c>
      <c r="G7" s="5"/>
      <c r="H7" s="6" t="s">
        <v>41</v>
      </c>
      <c r="I7" s="2">
        <v>0.654</v>
      </c>
      <c r="K7" s="3">
        <v>1.0</v>
      </c>
      <c r="L7" s="3">
        <v>2.0</v>
      </c>
      <c r="M7" s="7">
        <f t="shared" si="1"/>
        <v>1.308</v>
      </c>
    </row>
    <row r="8">
      <c r="A8" s="1">
        <v>1.0</v>
      </c>
      <c r="B8" s="1" t="s">
        <v>42</v>
      </c>
      <c r="C8" s="1" t="s">
        <v>43</v>
      </c>
      <c r="D8" s="4" t="s">
        <v>44</v>
      </c>
      <c r="E8" s="1">
        <v>805.0</v>
      </c>
      <c r="F8" s="4" t="s">
        <v>45</v>
      </c>
      <c r="G8" s="1" t="s">
        <v>46</v>
      </c>
      <c r="H8" s="6" t="s">
        <v>47</v>
      </c>
      <c r="I8" s="2">
        <v>0.189</v>
      </c>
      <c r="K8" s="3">
        <v>0.0</v>
      </c>
      <c r="L8" s="3">
        <v>10.0</v>
      </c>
      <c r="M8" s="7">
        <f t="shared" si="1"/>
        <v>1.89</v>
      </c>
      <c r="N8" s="3" t="s">
        <v>48</v>
      </c>
    </row>
    <row r="9">
      <c r="A9" s="1">
        <v>2.0</v>
      </c>
      <c r="B9" s="1" t="s">
        <v>49</v>
      </c>
      <c r="C9" s="1" t="s">
        <v>43</v>
      </c>
      <c r="D9" s="4" t="s">
        <v>50</v>
      </c>
      <c r="E9" s="1">
        <v>805.0</v>
      </c>
      <c r="F9" s="4" t="s">
        <v>45</v>
      </c>
      <c r="G9" s="1" t="s">
        <v>51</v>
      </c>
      <c r="H9" s="8" t="s">
        <v>52</v>
      </c>
      <c r="I9" s="2">
        <v>0.071</v>
      </c>
      <c r="K9" s="3">
        <v>0.0</v>
      </c>
      <c r="L9" s="3">
        <v>20.0</v>
      </c>
      <c r="M9" s="7">
        <f t="shared" si="1"/>
        <v>1.42</v>
      </c>
      <c r="N9" s="7">
        <f>SUM(M2:M54)</f>
        <v>63.223</v>
      </c>
    </row>
    <row r="10">
      <c r="A10" s="1">
        <v>4.0</v>
      </c>
      <c r="B10" s="1" t="s">
        <v>53</v>
      </c>
      <c r="C10" s="1" t="s">
        <v>43</v>
      </c>
      <c r="D10" s="4" t="s">
        <v>54</v>
      </c>
      <c r="E10" s="1">
        <v>805.0</v>
      </c>
      <c r="F10" s="4" t="s">
        <v>45</v>
      </c>
      <c r="G10" s="9" t="s">
        <v>55</v>
      </c>
      <c r="H10" s="8" t="s">
        <v>56</v>
      </c>
      <c r="I10" s="2">
        <v>0.103</v>
      </c>
      <c r="K10" s="3">
        <v>0.0</v>
      </c>
      <c r="L10" s="3">
        <v>20.0</v>
      </c>
      <c r="M10" s="7">
        <f t="shared" si="1"/>
        <v>2.06</v>
      </c>
    </row>
    <row r="11">
      <c r="A11" s="1">
        <v>2.0</v>
      </c>
      <c r="B11" s="1" t="s">
        <v>57</v>
      </c>
      <c r="C11" s="1" t="s">
        <v>43</v>
      </c>
      <c r="D11" s="4" t="s">
        <v>58</v>
      </c>
      <c r="E11" s="1">
        <v>805.0</v>
      </c>
      <c r="F11" s="4" t="s">
        <v>45</v>
      </c>
      <c r="G11" s="10" t="s">
        <v>59</v>
      </c>
      <c r="H11" s="8" t="s">
        <v>60</v>
      </c>
      <c r="I11" s="2">
        <v>0.12</v>
      </c>
      <c r="K11" s="3">
        <v>0.0</v>
      </c>
      <c r="L11" s="3">
        <v>10.0</v>
      </c>
      <c r="M11" s="7">
        <f t="shared" si="1"/>
        <v>1.2</v>
      </c>
    </row>
    <row r="12">
      <c r="A12" s="1">
        <v>2.0</v>
      </c>
      <c r="B12" s="1" t="s">
        <v>61</v>
      </c>
      <c r="C12" s="1" t="s">
        <v>43</v>
      </c>
      <c r="D12" s="4" t="s">
        <v>62</v>
      </c>
      <c r="E12" s="1">
        <v>805.0</v>
      </c>
      <c r="F12" s="1" t="s">
        <v>63</v>
      </c>
      <c r="G12" s="11" t="s">
        <v>64</v>
      </c>
      <c r="H12" s="6" t="s">
        <v>65</v>
      </c>
      <c r="I12" s="2">
        <v>0.153</v>
      </c>
      <c r="K12" s="3">
        <v>0.0</v>
      </c>
      <c r="L12" s="3">
        <v>10.0</v>
      </c>
      <c r="M12" s="7">
        <f t="shared" si="1"/>
        <v>1.53</v>
      </c>
    </row>
    <row r="13">
      <c r="A13" s="1">
        <v>5.0</v>
      </c>
      <c r="B13" s="1" t="s">
        <v>66</v>
      </c>
      <c r="C13" s="1" t="s">
        <v>43</v>
      </c>
      <c r="D13" s="4" t="s">
        <v>67</v>
      </c>
      <c r="E13" s="1">
        <v>805.0</v>
      </c>
      <c r="F13" s="12" t="s">
        <v>68</v>
      </c>
      <c r="G13" s="5"/>
      <c r="H13" s="5"/>
      <c r="I13" s="5"/>
      <c r="M13" s="7">
        <f t="shared" si="1"/>
        <v>0</v>
      </c>
    </row>
    <row r="14">
      <c r="A14" s="1">
        <v>5.0</v>
      </c>
      <c r="B14" s="1" t="s">
        <v>69</v>
      </c>
      <c r="C14" s="1" t="s">
        <v>43</v>
      </c>
      <c r="D14" s="4" t="s">
        <v>70</v>
      </c>
      <c r="E14" s="1">
        <v>805.0</v>
      </c>
      <c r="F14" s="4" t="s">
        <v>45</v>
      </c>
      <c r="G14" s="11" t="s">
        <v>71</v>
      </c>
      <c r="H14" s="6" t="s">
        <v>72</v>
      </c>
      <c r="I14" s="2">
        <v>0.093</v>
      </c>
      <c r="L14" s="3">
        <v>10.0</v>
      </c>
      <c r="M14" s="7">
        <f t="shared" si="1"/>
        <v>0.93</v>
      </c>
    </row>
    <row r="15">
      <c r="A15" s="1">
        <v>5.0</v>
      </c>
      <c r="B15" s="1" t="s">
        <v>69</v>
      </c>
      <c r="C15" s="1" t="s">
        <v>43</v>
      </c>
      <c r="D15" s="4" t="s">
        <v>73</v>
      </c>
      <c r="E15" s="1">
        <v>805.0</v>
      </c>
      <c r="F15" s="4" t="s">
        <v>45</v>
      </c>
      <c r="G15" s="11" t="s">
        <v>74</v>
      </c>
      <c r="H15" s="6" t="s">
        <v>75</v>
      </c>
      <c r="I15" s="2">
        <v>0.089</v>
      </c>
      <c r="K15" s="3">
        <v>0.0</v>
      </c>
      <c r="L15" s="3">
        <v>10.0</v>
      </c>
      <c r="M15" s="7">
        <f t="shared" si="1"/>
        <v>0.89</v>
      </c>
    </row>
    <row r="16">
      <c r="A16" s="1">
        <v>5.0</v>
      </c>
      <c r="B16" s="1" t="s">
        <v>69</v>
      </c>
      <c r="C16" s="1" t="s">
        <v>43</v>
      </c>
      <c r="D16" s="4" t="s">
        <v>76</v>
      </c>
      <c r="E16" s="1">
        <v>805.0</v>
      </c>
      <c r="F16" s="4" t="s">
        <v>45</v>
      </c>
      <c r="G16" s="11" t="s">
        <v>77</v>
      </c>
      <c r="H16" s="6" t="s">
        <v>78</v>
      </c>
      <c r="I16" s="2">
        <v>0.037</v>
      </c>
      <c r="K16" s="3">
        <v>0.0</v>
      </c>
      <c r="L16" s="3">
        <v>10.0</v>
      </c>
      <c r="M16" s="7">
        <f t="shared" si="1"/>
        <v>0.37</v>
      </c>
    </row>
    <row r="17">
      <c r="A17" s="1">
        <v>5.0</v>
      </c>
      <c r="B17" s="1" t="s">
        <v>69</v>
      </c>
      <c r="C17" s="1" t="s">
        <v>43</v>
      </c>
      <c r="D17" s="4" t="s">
        <v>79</v>
      </c>
      <c r="E17" s="1">
        <v>805.0</v>
      </c>
      <c r="F17" s="4" t="s">
        <v>45</v>
      </c>
      <c r="G17" s="11" t="s">
        <v>80</v>
      </c>
      <c r="H17" s="6" t="s">
        <v>81</v>
      </c>
      <c r="I17" s="2">
        <v>0.077</v>
      </c>
      <c r="K17" s="3">
        <v>0.0</v>
      </c>
      <c r="L17" s="3">
        <v>10.0</v>
      </c>
      <c r="M17" s="7">
        <f t="shared" si="1"/>
        <v>0.77</v>
      </c>
    </row>
    <row r="18">
      <c r="A18" s="1">
        <v>5.0</v>
      </c>
      <c r="B18" s="1" t="s">
        <v>69</v>
      </c>
      <c r="C18" s="1" t="s">
        <v>43</v>
      </c>
      <c r="D18" s="4" t="s">
        <v>82</v>
      </c>
      <c r="E18" s="1">
        <v>805.0</v>
      </c>
      <c r="F18" s="4" t="s">
        <v>45</v>
      </c>
      <c r="G18" s="5"/>
      <c r="H18" s="2" t="s">
        <v>83</v>
      </c>
      <c r="I18" s="5"/>
      <c r="M18" s="7">
        <f t="shared" si="1"/>
        <v>0</v>
      </c>
    </row>
    <row r="19">
      <c r="A19" s="1">
        <v>5.0</v>
      </c>
      <c r="B19" s="1" t="s">
        <v>69</v>
      </c>
      <c r="C19" s="1" t="s">
        <v>43</v>
      </c>
      <c r="D19" s="4" t="s">
        <v>84</v>
      </c>
      <c r="E19" s="1">
        <v>805.0</v>
      </c>
      <c r="F19" s="4" t="s">
        <v>45</v>
      </c>
      <c r="G19" s="13" t="s">
        <v>85</v>
      </c>
      <c r="H19" s="6" t="s">
        <v>86</v>
      </c>
      <c r="I19" s="2">
        <v>0.19</v>
      </c>
      <c r="K19" s="3">
        <v>0.0</v>
      </c>
      <c r="L19" s="3">
        <v>10.0</v>
      </c>
      <c r="M19" s="7">
        <f t="shared" si="1"/>
        <v>1.9</v>
      </c>
    </row>
    <row r="20">
      <c r="A20" s="1">
        <v>5.0</v>
      </c>
      <c r="B20" s="1" t="s">
        <v>69</v>
      </c>
      <c r="C20" s="1" t="s">
        <v>43</v>
      </c>
      <c r="D20" s="4" t="s">
        <v>87</v>
      </c>
      <c r="E20" s="1">
        <v>805.0</v>
      </c>
      <c r="F20" s="4" t="s">
        <v>45</v>
      </c>
      <c r="G20" s="11" t="s">
        <v>88</v>
      </c>
      <c r="H20" s="6" t="s">
        <v>89</v>
      </c>
      <c r="I20" s="2">
        <v>0.12</v>
      </c>
      <c r="K20" s="3">
        <v>0.0</v>
      </c>
      <c r="L20" s="3">
        <v>10.0</v>
      </c>
      <c r="M20" s="7">
        <f t="shared" si="1"/>
        <v>1.2</v>
      </c>
    </row>
    <row r="21">
      <c r="A21" s="1">
        <v>4.0</v>
      </c>
      <c r="B21" s="1" t="s">
        <v>90</v>
      </c>
      <c r="C21" s="1" t="s">
        <v>43</v>
      </c>
      <c r="D21" s="4" t="s">
        <v>91</v>
      </c>
      <c r="E21" s="1">
        <v>805.0</v>
      </c>
      <c r="F21" s="1" t="s">
        <v>92</v>
      </c>
      <c r="G21" s="11" t="s">
        <v>93</v>
      </c>
      <c r="H21" s="6" t="s">
        <v>94</v>
      </c>
      <c r="I21" s="2">
        <v>0.109</v>
      </c>
      <c r="K21" s="3">
        <v>0.0</v>
      </c>
      <c r="L21" s="3">
        <v>20.0</v>
      </c>
      <c r="M21" s="7">
        <f t="shared" si="1"/>
        <v>2.18</v>
      </c>
    </row>
    <row r="22">
      <c r="A22" s="1">
        <v>2.0</v>
      </c>
      <c r="B22" s="1" t="s">
        <v>95</v>
      </c>
      <c r="C22" s="1" t="s">
        <v>43</v>
      </c>
      <c r="D22" s="4" t="s">
        <v>96</v>
      </c>
      <c r="E22" s="1">
        <v>805.0</v>
      </c>
      <c r="F22" s="1" t="s">
        <v>97</v>
      </c>
      <c r="G22" s="11" t="s">
        <v>98</v>
      </c>
      <c r="H22" s="6" t="s">
        <v>99</v>
      </c>
      <c r="I22" s="2">
        <v>0.224</v>
      </c>
      <c r="K22" s="3">
        <v>0.0</v>
      </c>
      <c r="L22" s="3">
        <v>10.0</v>
      </c>
      <c r="M22" s="7">
        <f t="shared" si="1"/>
        <v>2.24</v>
      </c>
    </row>
    <row r="23">
      <c r="A23" s="1">
        <v>12.0</v>
      </c>
      <c r="B23" s="1" t="s">
        <v>100</v>
      </c>
      <c r="C23" s="1" t="s">
        <v>43</v>
      </c>
      <c r="D23" s="4" t="s">
        <v>101</v>
      </c>
      <c r="E23" s="1">
        <v>805.0</v>
      </c>
      <c r="F23" s="1" t="s">
        <v>102</v>
      </c>
      <c r="G23" s="11" t="s">
        <v>103</v>
      </c>
      <c r="H23" s="6" t="s">
        <v>104</v>
      </c>
      <c r="I23" s="2">
        <v>0.099</v>
      </c>
      <c r="K23" s="3">
        <v>0.0</v>
      </c>
      <c r="L23" s="3">
        <v>30.0</v>
      </c>
      <c r="M23" s="7">
        <f t="shared" si="1"/>
        <v>2.97</v>
      </c>
    </row>
    <row r="24">
      <c r="A24" s="1">
        <v>6.0</v>
      </c>
      <c r="B24" s="1" t="s">
        <v>105</v>
      </c>
      <c r="C24" s="1" t="s">
        <v>43</v>
      </c>
      <c r="D24" s="4" t="s">
        <v>106</v>
      </c>
      <c r="E24" s="1">
        <v>805.0</v>
      </c>
      <c r="F24" s="1" t="s">
        <v>63</v>
      </c>
      <c r="G24" s="11" t="s">
        <v>107</v>
      </c>
      <c r="H24" s="6" t="s">
        <v>108</v>
      </c>
      <c r="I24" s="2">
        <v>0.101</v>
      </c>
      <c r="K24" s="3">
        <v>0.0</v>
      </c>
      <c r="L24" s="3">
        <v>20.0</v>
      </c>
      <c r="M24" s="7">
        <f t="shared" si="1"/>
        <v>2.02</v>
      </c>
    </row>
    <row r="25">
      <c r="A25" s="14">
        <v>4.0</v>
      </c>
      <c r="B25" s="2" t="s">
        <v>109</v>
      </c>
      <c r="C25" s="15" t="s">
        <v>43</v>
      </c>
      <c r="D25" s="16" t="s">
        <v>106</v>
      </c>
      <c r="E25" s="14">
        <v>1206.0</v>
      </c>
      <c r="F25" s="16" t="s">
        <v>45</v>
      </c>
      <c r="G25" s="10" t="s">
        <v>110</v>
      </c>
      <c r="H25" s="17" t="s">
        <v>111</v>
      </c>
      <c r="I25" s="18">
        <v>0.362</v>
      </c>
      <c r="J25" s="19"/>
      <c r="K25" s="20">
        <v>0.0</v>
      </c>
      <c r="L25" s="20">
        <v>20.0</v>
      </c>
      <c r="M25" s="21">
        <f t="shared" si="1"/>
        <v>7.24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>
      <c r="A26" s="1">
        <v>1.0</v>
      </c>
      <c r="B26" s="1" t="s">
        <v>112</v>
      </c>
      <c r="C26" s="1" t="s">
        <v>113</v>
      </c>
      <c r="D26" s="4" t="s">
        <v>114</v>
      </c>
      <c r="E26" s="1">
        <v>805.0</v>
      </c>
      <c r="F26" s="4" t="s">
        <v>115</v>
      </c>
      <c r="G26" s="22" t="s">
        <v>116</v>
      </c>
      <c r="H26" s="23" t="s">
        <v>117</v>
      </c>
      <c r="I26" s="2">
        <v>0.344</v>
      </c>
      <c r="K26" s="3">
        <v>0.0</v>
      </c>
      <c r="L26" s="3">
        <v>3.0</v>
      </c>
      <c r="M26" s="7">
        <f t="shared" si="1"/>
        <v>1.032</v>
      </c>
    </row>
    <row r="27">
      <c r="A27" s="1">
        <v>5.0</v>
      </c>
      <c r="B27" s="1" t="s">
        <v>118</v>
      </c>
      <c r="C27" s="1" t="s">
        <v>113</v>
      </c>
      <c r="D27" s="4" t="s">
        <v>119</v>
      </c>
      <c r="E27" s="1">
        <v>805.0</v>
      </c>
      <c r="F27" s="4" t="s">
        <v>120</v>
      </c>
      <c r="G27" s="11" t="s">
        <v>121</v>
      </c>
      <c r="H27" s="6" t="s">
        <v>122</v>
      </c>
      <c r="I27" s="2">
        <v>0.082</v>
      </c>
      <c r="K27" s="3">
        <v>0.0</v>
      </c>
      <c r="L27" s="3">
        <v>20.0</v>
      </c>
      <c r="M27" s="7">
        <f t="shared" si="1"/>
        <v>1.64</v>
      </c>
    </row>
    <row r="28">
      <c r="A28" s="1">
        <v>1.0</v>
      </c>
      <c r="B28" s="1" t="s">
        <v>123</v>
      </c>
      <c r="C28" s="1" t="s">
        <v>113</v>
      </c>
      <c r="D28" s="4" t="s">
        <v>124</v>
      </c>
      <c r="E28" s="1">
        <v>805.0</v>
      </c>
      <c r="F28" s="4" t="s">
        <v>120</v>
      </c>
      <c r="G28" s="11" t="s">
        <v>125</v>
      </c>
      <c r="H28" s="6" t="s">
        <v>126</v>
      </c>
      <c r="I28" s="2">
        <v>0.014</v>
      </c>
      <c r="K28" s="3">
        <v>0.0</v>
      </c>
      <c r="L28" s="3">
        <v>10.0</v>
      </c>
      <c r="M28" s="7">
        <f t="shared" si="1"/>
        <v>0.14</v>
      </c>
    </row>
    <row r="29">
      <c r="A29" s="1">
        <v>1.0</v>
      </c>
      <c r="B29" s="1" t="s">
        <v>127</v>
      </c>
      <c r="C29" s="1" t="s">
        <v>113</v>
      </c>
      <c r="D29" s="4" t="s">
        <v>128</v>
      </c>
      <c r="E29" s="1">
        <v>805.0</v>
      </c>
      <c r="F29" s="4" t="s">
        <v>120</v>
      </c>
      <c r="G29" s="11" t="s">
        <v>129</v>
      </c>
      <c r="H29" s="6" t="s">
        <v>130</v>
      </c>
      <c r="I29" s="2">
        <v>0.013</v>
      </c>
      <c r="K29" s="3">
        <v>0.0</v>
      </c>
      <c r="L29" s="3">
        <v>10.0</v>
      </c>
      <c r="M29" s="7">
        <f t="shared" si="1"/>
        <v>0.13</v>
      </c>
    </row>
    <row r="30">
      <c r="A30" s="1">
        <v>1.0</v>
      </c>
      <c r="B30" s="1" t="s">
        <v>131</v>
      </c>
      <c r="C30" s="1" t="s">
        <v>113</v>
      </c>
      <c r="D30" s="4" t="s">
        <v>132</v>
      </c>
      <c r="E30" s="1">
        <v>805.0</v>
      </c>
      <c r="F30" s="4" t="s">
        <v>120</v>
      </c>
      <c r="G30" s="11" t="s">
        <v>133</v>
      </c>
      <c r="H30" s="6" t="s">
        <v>134</v>
      </c>
      <c r="I30" s="2">
        <v>0.014</v>
      </c>
      <c r="K30" s="3">
        <v>0.0</v>
      </c>
      <c r="L30" s="3">
        <v>10.0</v>
      </c>
      <c r="M30" s="7">
        <f t="shared" si="1"/>
        <v>0.14</v>
      </c>
    </row>
    <row r="31">
      <c r="A31" s="1">
        <v>1.0</v>
      </c>
      <c r="B31" s="1" t="s">
        <v>135</v>
      </c>
      <c r="C31" s="1" t="s">
        <v>113</v>
      </c>
      <c r="D31" s="4" t="s">
        <v>136</v>
      </c>
      <c r="E31" s="1">
        <v>805.0</v>
      </c>
      <c r="F31" s="4" t="s">
        <v>120</v>
      </c>
      <c r="G31" s="11" t="s">
        <v>137</v>
      </c>
      <c r="H31" s="6" t="s">
        <v>138</v>
      </c>
      <c r="I31" s="2">
        <v>0.014</v>
      </c>
      <c r="K31" s="3">
        <v>0.0</v>
      </c>
      <c r="L31" s="3">
        <v>10.0</v>
      </c>
      <c r="M31" s="7">
        <f t="shared" si="1"/>
        <v>0.14</v>
      </c>
    </row>
    <row r="32">
      <c r="A32" s="1">
        <v>2.0</v>
      </c>
      <c r="B32" s="1" t="s">
        <v>139</v>
      </c>
      <c r="C32" s="1" t="s">
        <v>113</v>
      </c>
      <c r="D32" s="4" t="s">
        <v>140</v>
      </c>
      <c r="E32" s="1">
        <v>805.0</v>
      </c>
      <c r="F32" s="4" t="s">
        <v>120</v>
      </c>
      <c r="G32" s="11" t="s">
        <v>141</v>
      </c>
      <c r="H32" s="6" t="s">
        <v>142</v>
      </c>
      <c r="I32" s="2">
        <v>0.026</v>
      </c>
      <c r="K32" s="3">
        <v>0.0</v>
      </c>
      <c r="L32" s="3">
        <v>10.0</v>
      </c>
      <c r="M32" s="7">
        <f t="shared" si="1"/>
        <v>0.26</v>
      </c>
    </row>
    <row r="33">
      <c r="A33" s="1">
        <v>2.0</v>
      </c>
      <c r="B33" s="1" t="s">
        <v>143</v>
      </c>
      <c r="C33" s="1" t="s">
        <v>113</v>
      </c>
      <c r="D33" s="4" t="s">
        <v>144</v>
      </c>
      <c r="E33" s="1">
        <v>805.0</v>
      </c>
      <c r="F33" s="4" t="s">
        <v>120</v>
      </c>
      <c r="G33" s="11" t="s">
        <v>145</v>
      </c>
      <c r="H33" s="6" t="s">
        <v>146</v>
      </c>
      <c r="I33" s="2">
        <v>0.015</v>
      </c>
      <c r="K33" s="3">
        <v>0.0</v>
      </c>
      <c r="L33" s="3">
        <v>10.0</v>
      </c>
      <c r="M33" s="7">
        <f t="shared" si="1"/>
        <v>0.15</v>
      </c>
    </row>
    <row r="34">
      <c r="A34" s="1">
        <v>2.0</v>
      </c>
      <c r="B34" s="1" t="s">
        <v>147</v>
      </c>
      <c r="C34" s="1" t="s">
        <v>113</v>
      </c>
      <c r="D34" s="4" t="s">
        <v>148</v>
      </c>
      <c r="E34" s="1">
        <v>805.0</v>
      </c>
      <c r="F34" s="4" t="s">
        <v>120</v>
      </c>
      <c r="G34" s="11" t="s">
        <v>149</v>
      </c>
      <c r="H34" s="6" t="s">
        <v>150</v>
      </c>
      <c r="I34" s="2">
        <v>0.012</v>
      </c>
      <c r="K34" s="3">
        <v>0.0</v>
      </c>
      <c r="L34" s="3">
        <v>10.0</v>
      </c>
      <c r="M34" s="7">
        <f t="shared" si="1"/>
        <v>0.12</v>
      </c>
    </row>
    <row r="35">
      <c r="A35" s="1">
        <v>1.0</v>
      </c>
      <c r="B35" s="1" t="s">
        <v>151</v>
      </c>
      <c r="C35" s="1" t="s">
        <v>113</v>
      </c>
      <c r="D35" s="4" t="s">
        <v>152</v>
      </c>
      <c r="E35" s="1">
        <v>805.0</v>
      </c>
      <c r="F35" s="4" t="s">
        <v>120</v>
      </c>
      <c r="G35" s="11" t="s">
        <v>153</v>
      </c>
      <c r="H35" s="6" t="s">
        <v>154</v>
      </c>
      <c r="I35" s="2">
        <v>0.014</v>
      </c>
      <c r="K35" s="3">
        <v>0.0</v>
      </c>
      <c r="L35" s="3">
        <v>10.0</v>
      </c>
      <c r="M35" s="7">
        <f t="shared" si="1"/>
        <v>0.14</v>
      </c>
    </row>
    <row r="36">
      <c r="A36" s="1">
        <v>2.0</v>
      </c>
      <c r="B36" s="1" t="s">
        <v>155</v>
      </c>
      <c r="C36" s="1" t="s">
        <v>113</v>
      </c>
      <c r="D36" s="4" t="s">
        <v>156</v>
      </c>
      <c r="E36" s="1">
        <v>805.0</v>
      </c>
      <c r="F36" s="4" t="s">
        <v>120</v>
      </c>
      <c r="G36" s="11" t="s">
        <v>157</v>
      </c>
      <c r="H36" s="6" t="s">
        <v>158</v>
      </c>
      <c r="I36" s="2">
        <v>0.014</v>
      </c>
      <c r="K36" s="3">
        <v>0.0</v>
      </c>
      <c r="L36" s="3">
        <v>10.0</v>
      </c>
      <c r="M36" s="7">
        <f t="shared" si="1"/>
        <v>0.14</v>
      </c>
    </row>
    <row r="37">
      <c r="A37" s="1">
        <v>2.0</v>
      </c>
      <c r="B37" s="1" t="s">
        <v>159</v>
      </c>
      <c r="C37" s="1" t="s">
        <v>113</v>
      </c>
      <c r="D37" s="4" t="s">
        <v>160</v>
      </c>
      <c r="E37" s="1">
        <v>805.0</v>
      </c>
      <c r="F37" s="4" t="s">
        <v>120</v>
      </c>
      <c r="G37" s="11" t="s">
        <v>161</v>
      </c>
      <c r="H37" s="6" t="s">
        <v>162</v>
      </c>
      <c r="I37" s="2">
        <v>0.013</v>
      </c>
      <c r="K37" s="3">
        <v>0.0</v>
      </c>
      <c r="L37" s="3">
        <v>10.0</v>
      </c>
      <c r="M37" s="7">
        <f t="shared" si="1"/>
        <v>0.13</v>
      </c>
    </row>
    <row r="38">
      <c r="A38" s="1">
        <v>5.0</v>
      </c>
      <c r="B38" s="1" t="s">
        <v>163</v>
      </c>
      <c r="C38" s="1" t="s">
        <v>113</v>
      </c>
      <c r="D38" s="4" t="s">
        <v>164</v>
      </c>
      <c r="E38" s="1">
        <v>805.0</v>
      </c>
      <c r="F38" s="4" t="s">
        <v>120</v>
      </c>
      <c r="G38" s="11" t="s">
        <v>165</v>
      </c>
      <c r="H38" s="6" t="s">
        <v>166</v>
      </c>
      <c r="I38" s="2">
        <v>0.022</v>
      </c>
      <c r="K38" s="3">
        <v>0.0</v>
      </c>
      <c r="L38" s="3">
        <v>20.0</v>
      </c>
      <c r="M38" s="7">
        <f t="shared" si="1"/>
        <v>0.44</v>
      </c>
    </row>
    <row r="39">
      <c r="A39" s="1">
        <v>1.0</v>
      </c>
      <c r="B39" s="1" t="s">
        <v>167</v>
      </c>
      <c r="C39" s="1" t="s">
        <v>113</v>
      </c>
      <c r="D39" s="4" t="s">
        <v>168</v>
      </c>
      <c r="E39" s="1">
        <v>805.0</v>
      </c>
      <c r="F39" s="4" t="s">
        <v>120</v>
      </c>
      <c r="G39" s="11" t="s">
        <v>169</v>
      </c>
      <c r="H39" s="6" t="s">
        <v>170</v>
      </c>
      <c r="I39" s="2">
        <v>0.019</v>
      </c>
      <c r="K39" s="3">
        <v>0.0</v>
      </c>
      <c r="L39" s="3">
        <v>10.0</v>
      </c>
      <c r="M39" s="7">
        <f t="shared" si="1"/>
        <v>0.19</v>
      </c>
    </row>
    <row r="40">
      <c r="A40" s="1">
        <v>1.0</v>
      </c>
      <c r="B40" s="1" t="s">
        <v>171</v>
      </c>
      <c r="C40" s="1" t="s">
        <v>113</v>
      </c>
      <c r="D40" s="4" t="s">
        <v>172</v>
      </c>
      <c r="E40" s="1">
        <v>805.0</v>
      </c>
      <c r="F40" s="4" t="s">
        <v>120</v>
      </c>
      <c r="G40" s="11" t="s">
        <v>173</v>
      </c>
      <c r="H40" s="6" t="s">
        <v>174</v>
      </c>
      <c r="I40" s="2">
        <v>0.019</v>
      </c>
      <c r="K40" s="3">
        <v>0.0</v>
      </c>
      <c r="L40" s="3">
        <v>10.0</v>
      </c>
      <c r="M40" s="7">
        <f t="shared" si="1"/>
        <v>0.19</v>
      </c>
    </row>
    <row r="41">
      <c r="A41" s="1">
        <v>1.0</v>
      </c>
      <c r="B41" s="1" t="s">
        <v>175</v>
      </c>
      <c r="C41" s="1" t="s">
        <v>176</v>
      </c>
      <c r="D41" s="4" t="s">
        <v>177</v>
      </c>
      <c r="E41" s="1">
        <v>805.0</v>
      </c>
      <c r="F41" s="1" t="s">
        <v>178</v>
      </c>
      <c r="G41" s="10" t="s">
        <v>179</v>
      </c>
      <c r="H41" s="6" t="s">
        <v>180</v>
      </c>
      <c r="I41" s="2">
        <v>0.361</v>
      </c>
      <c r="K41" s="3">
        <v>0.0</v>
      </c>
      <c r="L41" s="3">
        <v>3.0</v>
      </c>
      <c r="M41" s="7">
        <f t="shared" si="1"/>
        <v>1.083</v>
      </c>
    </row>
    <row r="42">
      <c r="A42" s="1">
        <v>2.0</v>
      </c>
      <c r="B42" s="1" t="s">
        <v>181</v>
      </c>
      <c r="C42" s="1" t="s">
        <v>182</v>
      </c>
      <c r="D42" s="4" t="s">
        <v>183</v>
      </c>
      <c r="E42" s="1">
        <v>805.0</v>
      </c>
      <c r="F42" s="1" t="s">
        <v>184</v>
      </c>
      <c r="G42" s="13" t="s">
        <v>185</v>
      </c>
      <c r="H42" s="6" t="s">
        <v>186</v>
      </c>
      <c r="I42" s="2">
        <v>0.473</v>
      </c>
      <c r="K42" s="3">
        <v>0.0</v>
      </c>
      <c r="L42" s="3">
        <v>6.0</v>
      </c>
      <c r="M42" s="7">
        <f t="shared" si="1"/>
        <v>2.838</v>
      </c>
    </row>
    <row r="43" ht="30.75" customHeight="1">
      <c r="A43" s="1">
        <v>1.0</v>
      </c>
      <c r="B43" s="1" t="s">
        <v>187</v>
      </c>
      <c r="C43" s="1" t="s">
        <v>188</v>
      </c>
      <c r="D43" s="4" t="s">
        <v>189</v>
      </c>
      <c r="E43" s="1" t="s">
        <v>190</v>
      </c>
      <c r="F43" s="1" t="s">
        <v>191</v>
      </c>
      <c r="G43" s="4" t="s">
        <v>189</v>
      </c>
      <c r="H43" s="6" t="s">
        <v>192</v>
      </c>
      <c r="I43" s="2">
        <v>0.585</v>
      </c>
      <c r="K43" s="3">
        <v>0.0</v>
      </c>
      <c r="L43" s="3">
        <v>3.0</v>
      </c>
      <c r="M43" s="7">
        <f t="shared" si="1"/>
        <v>1.755</v>
      </c>
    </row>
    <row r="44">
      <c r="A44" s="5"/>
      <c r="B44" s="5"/>
      <c r="C44" s="5"/>
      <c r="D44" s="5"/>
      <c r="E44" s="5"/>
      <c r="F44" s="5"/>
      <c r="G44" s="5"/>
      <c r="H44" s="5"/>
      <c r="I44" s="5"/>
    </row>
    <row r="45">
      <c r="A45" s="5"/>
      <c r="B45" s="5"/>
      <c r="C45" s="5"/>
      <c r="D45" s="5"/>
      <c r="E45" s="5"/>
      <c r="F45" s="5"/>
      <c r="G45" s="5"/>
      <c r="H45" s="5"/>
      <c r="I45" s="5"/>
    </row>
    <row r="46">
      <c r="A46" s="5"/>
      <c r="B46" s="5"/>
      <c r="C46" s="5"/>
      <c r="D46" s="5"/>
      <c r="E46" s="5"/>
      <c r="F46" s="5"/>
      <c r="G46" s="5"/>
      <c r="H46" s="5"/>
      <c r="I46" s="5"/>
    </row>
    <row r="47">
      <c r="A47" s="5"/>
      <c r="B47" s="5"/>
      <c r="C47" s="5"/>
      <c r="D47" s="5"/>
      <c r="E47" s="5"/>
      <c r="F47" s="5"/>
      <c r="G47" s="5"/>
      <c r="H47" s="5"/>
      <c r="I47" s="5"/>
    </row>
    <row r="48">
      <c r="A48" s="5"/>
      <c r="B48" s="5"/>
      <c r="C48" s="5"/>
      <c r="D48" s="5"/>
      <c r="E48" s="5"/>
      <c r="F48" s="5"/>
      <c r="G48" s="5"/>
      <c r="H48" s="5"/>
      <c r="I48" s="5"/>
    </row>
    <row r="49">
      <c r="A49" s="5"/>
      <c r="B49" s="5"/>
      <c r="C49" s="5"/>
      <c r="D49" s="5"/>
      <c r="E49" s="5"/>
      <c r="F49" s="5"/>
      <c r="G49" s="5"/>
      <c r="H49" s="5"/>
      <c r="I49" s="5"/>
    </row>
    <row r="50">
      <c r="A50" s="5"/>
      <c r="B50" s="5"/>
      <c r="C50" s="5"/>
      <c r="D50" s="5"/>
      <c r="E50" s="5"/>
      <c r="F50" s="5"/>
      <c r="G50" s="5"/>
      <c r="H50" s="5"/>
      <c r="I50" s="5"/>
    </row>
    <row r="51">
      <c r="A51" s="5"/>
      <c r="B51" s="5"/>
      <c r="C51" s="5"/>
      <c r="D51" s="5"/>
      <c r="E51" s="5"/>
      <c r="F51" s="5"/>
      <c r="G51" s="5"/>
      <c r="H51" s="5"/>
      <c r="I51" s="5"/>
    </row>
    <row r="52">
      <c r="A52" s="5"/>
      <c r="B52" s="5"/>
      <c r="C52" s="5"/>
      <c r="D52" s="5"/>
      <c r="E52" s="5"/>
      <c r="F52" s="5"/>
      <c r="G52" s="5"/>
      <c r="H52" s="5"/>
      <c r="I52" s="5"/>
    </row>
    <row r="53">
      <c r="A53" s="5"/>
      <c r="B53" s="5"/>
      <c r="C53" s="5"/>
      <c r="D53" s="5"/>
      <c r="E53" s="5"/>
      <c r="F53" s="5"/>
      <c r="G53" s="5"/>
      <c r="H53" s="5"/>
      <c r="I53" s="5"/>
    </row>
    <row r="54">
      <c r="A54" s="5"/>
      <c r="B54" s="5"/>
      <c r="C54" s="5"/>
      <c r="D54" s="5"/>
      <c r="E54" s="5"/>
      <c r="F54" s="5"/>
      <c r="G54" s="5"/>
      <c r="H54" s="5"/>
      <c r="I54" s="5"/>
    </row>
    <row r="55">
      <c r="A55" s="5"/>
      <c r="B55" s="5"/>
      <c r="C55" s="5"/>
      <c r="D55" s="5"/>
      <c r="E55" s="5"/>
      <c r="F55" s="5"/>
      <c r="G55" s="5"/>
      <c r="H55" s="5"/>
      <c r="I55" s="5"/>
    </row>
    <row r="56">
      <c r="A56" s="5"/>
      <c r="B56" s="5"/>
      <c r="C56" s="5"/>
      <c r="D56" s="5"/>
      <c r="E56" s="5"/>
      <c r="F56" s="5"/>
      <c r="G56" s="5"/>
      <c r="H56" s="5"/>
      <c r="I56" s="5"/>
    </row>
    <row r="57">
      <c r="A57" s="5"/>
      <c r="B57" s="5"/>
      <c r="C57" s="5"/>
      <c r="D57" s="5"/>
      <c r="E57" s="5"/>
      <c r="F57" s="5"/>
      <c r="G57" s="5"/>
      <c r="H57" s="5"/>
      <c r="I57" s="5"/>
    </row>
    <row r="58">
      <c r="A58" s="5"/>
      <c r="B58" s="5"/>
      <c r="C58" s="5"/>
      <c r="D58" s="5"/>
      <c r="E58" s="5"/>
      <c r="F58" s="5"/>
      <c r="G58" s="5"/>
      <c r="H58" s="5"/>
      <c r="I58" s="5"/>
    </row>
    <row r="59">
      <c r="A59" s="5"/>
      <c r="B59" s="5"/>
      <c r="C59" s="5"/>
      <c r="D59" s="5"/>
      <c r="E59" s="5"/>
      <c r="F59" s="5"/>
      <c r="G59" s="5"/>
      <c r="H59" s="5"/>
      <c r="I59" s="5"/>
    </row>
    <row r="60">
      <c r="A60" s="5"/>
      <c r="B60" s="5"/>
      <c r="C60" s="5"/>
      <c r="D60" s="5"/>
      <c r="E60" s="5"/>
      <c r="F60" s="5"/>
      <c r="G60" s="5"/>
      <c r="H60" s="5"/>
      <c r="I60" s="5"/>
    </row>
    <row r="61">
      <c r="A61" s="5"/>
      <c r="B61" s="5"/>
      <c r="C61" s="5"/>
      <c r="D61" s="5"/>
      <c r="E61" s="5"/>
      <c r="F61" s="5"/>
      <c r="G61" s="5"/>
      <c r="H61" s="5"/>
      <c r="I61" s="5"/>
    </row>
    <row r="62">
      <c r="A62" s="5"/>
      <c r="B62" s="5"/>
      <c r="C62" s="5"/>
      <c r="D62" s="5"/>
      <c r="E62" s="5"/>
      <c r="F62" s="5"/>
      <c r="G62" s="5"/>
      <c r="H62" s="5"/>
      <c r="I62" s="5"/>
    </row>
    <row r="63">
      <c r="A63" s="5"/>
      <c r="B63" s="5"/>
      <c r="C63" s="5"/>
      <c r="D63" s="5"/>
      <c r="E63" s="5"/>
      <c r="F63" s="5"/>
      <c r="G63" s="5"/>
      <c r="H63" s="5"/>
      <c r="I63" s="5"/>
    </row>
    <row r="64">
      <c r="A64" s="5"/>
      <c r="B64" s="5"/>
      <c r="C64" s="5"/>
      <c r="D64" s="5"/>
      <c r="E64" s="5"/>
      <c r="F64" s="5"/>
      <c r="G64" s="5"/>
      <c r="H64" s="5"/>
      <c r="I64" s="5"/>
    </row>
    <row r="65">
      <c r="A65" s="5"/>
      <c r="B65" s="5"/>
      <c r="C65" s="5"/>
      <c r="D65" s="5"/>
      <c r="E65" s="5"/>
      <c r="F65" s="5"/>
      <c r="G65" s="5"/>
      <c r="H65" s="5"/>
      <c r="I65" s="5"/>
    </row>
    <row r="66">
      <c r="A66" s="5"/>
      <c r="B66" s="5"/>
      <c r="C66" s="5"/>
      <c r="D66" s="5"/>
      <c r="E66" s="5"/>
      <c r="F66" s="5"/>
      <c r="G66" s="5"/>
      <c r="H66" s="5"/>
      <c r="I66" s="5"/>
    </row>
    <row r="67">
      <c r="A67" s="5"/>
      <c r="B67" s="5"/>
      <c r="C67" s="5"/>
      <c r="D67" s="5"/>
      <c r="E67" s="5"/>
      <c r="F67" s="5"/>
      <c r="G67" s="5"/>
      <c r="H67" s="5"/>
      <c r="I67" s="5"/>
    </row>
    <row r="68">
      <c r="A68" s="5"/>
      <c r="B68" s="5"/>
      <c r="C68" s="5"/>
      <c r="D68" s="5"/>
      <c r="E68" s="5"/>
      <c r="F68" s="5"/>
      <c r="G68" s="5"/>
      <c r="H68" s="5"/>
      <c r="I68" s="5"/>
    </row>
    <row r="69">
      <c r="A69" s="5"/>
      <c r="B69" s="5"/>
      <c r="C69" s="5"/>
      <c r="D69" s="5"/>
      <c r="E69" s="5"/>
      <c r="F69" s="5"/>
      <c r="G69" s="5"/>
      <c r="H69" s="5"/>
      <c r="I69" s="5"/>
    </row>
    <row r="70">
      <c r="A70" s="5"/>
      <c r="B70" s="5"/>
      <c r="C70" s="5"/>
      <c r="D70" s="5"/>
      <c r="E70" s="5"/>
      <c r="F70" s="5"/>
      <c r="G70" s="5"/>
      <c r="H70" s="5"/>
      <c r="I70" s="5"/>
    </row>
    <row r="71">
      <c r="A71" s="5"/>
      <c r="B71" s="5"/>
      <c r="C71" s="5"/>
      <c r="D71" s="5"/>
      <c r="E71" s="5"/>
      <c r="F71" s="5"/>
      <c r="G71" s="5"/>
      <c r="H71" s="5"/>
      <c r="I71" s="5"/>
    </row>
    <row r="72">
      <c r="A72" s="5"/>
      <c r="B72" s="5"/>
      <c r="C72" s="5"/>
      <c r="D72" s="5"/>
      <c r="E72" s="5"/>
      <c r="F72" s="5"/>
      <c r="G72" s="5"/>
      <c r="H72" s="5"/>
      <c r="I72" s="5"/>
    </row>
    <row r="73">
      <c r="A73" s="5"/>
      <c r="B73" s="5"/>
      <c r="C73" s="5"/>
      <c r="D73" s="5"/>
      <c r="E73" s="5"/>
      <c r="F73" s="5"/>
      <c r="G73" s="5"/>
      <c r="H73" s="5"/>
      <c r="I73" s="5"/>
    </row>
    <row r="74">
      <c r="A74" s="5"/>
      <c r="B74" s="5"/>
      <c r="C74" s="5"/>
      <c r="D74" s="5"/>
      <c r="E74" s="5"/>
      <c r="F74" s="5"/>
      <c r="G74" s="5"/>
      <c r="H74" s="5"/>
      <c r="I74" s="5"/>
    </row>
    <row r="75">
      <c r="A75" s="5"/>
      <c r="B75" s="5"/>
      <c r="C75" s="5"/>
      <c r="D75" s="5"/>
      <c r="E75" s="5"/>
      <c r="F75" s="5"/>
      <c r="G75" s="5"/>
      <c r="H75" s="5"/>
      <c r="I75" s="5"/>
    </row>
    <row r="76">
      <c r="A76" s="5"/>
      <c r="B76" s="5"/>
      <c r="C76" s="5"/>
      <c r="D76" s="5"/>
      <c r="E76" s="5"/>
      <c r="F76" s="5"/>
      <c r="G76" s="5"/>
      <c r="H76" s="5"/>
      <c r="I76" s="5"/>
    </row>
    <row r="77">
      <c r="A77" s="5"/>
      <c r="B77" s="5"/>
      <c r="C77" s="5"/>
      <c r="D77" s="5"/>
      <c r="E77" s="5"/>
      <c r="F77" s="5"/>
      <c r="G77" s="5"/>
      <c r="H77" s="5"/>
      <c r="I77" s="5"/>
    </row>
    <row r="78">
      <c r="A78" s="5"/>
      <c r="B78" s="5"/>
      <c r="C78" s="5"/>
      <c r="D78" s="5"/>
      <c r="E78" s="5"/>
      <c r="F78" s="5"/>
      <c r="G78" s="5"/>
      <c r="H78" s="5"/>
      <c r="I78" s="5"/>
    </row>
    <row r="79">
      <c r="A79" s="5"/>
      <c r="B79" s="5"/>
      <c r="C79" s="5"/>
      <c r="D79" s="5"/>
      <c r="E79" s="5"/>
      <c r="F79" s="5"/>
      <c r="G79" s="5"/>
      <c r="H79" s="5"/>
      <c r="I79" s="5"/>
    </row>
    <row r="80">
      <c r="A80" s="5"/>
      <c r="B80" s="5"/>
      <c r="C80" s="5"/>
      <c r="D80" s="5"/>
      <c r="E80" s="5"/>
      <c r="F80" s="5"/>
      <c r="G80" s="5"/>
      <c r="H80" s="5"/>
      <c r="I80" s="5"/>
    </row>
    <row r="81">
      <c r="A81" s="5"/>
      <c r="B81" s="5"/>
      <c r="C81" s="5"/>
      <c r="D81" s="5"/>
      <c r="E81" s="5"/>
      <c r="F81" s="5"/>
      <c r="G81" s="5"/>
      <c r="H81" s="5"/>
      <c r="I81" s="5"/>
    </row>
    <row r="82">
      <c r="A82" s="5"/>
      <c r="B82" s="5"/>
      <c r="C82" s="5"/>
      <c r="D82" s="5"/>
      <c r="E82" s="5"/>
      <c r="F82" s="5"/>
      <c r="G82" s="5"/>
      <c r="H82" s="5"/>
      <c r="I82" s="5"/>
    </row>
    <row r="83">
      <c r="A83" s="5"/>
      <c r="B83" s="5"/>
      <c r="C83" s="5"/>
      <c r="D83" s="5"/>
      <c r="E83" s="5"/>
      <c r="F83" s="5"/>
      <c r="G83" s="5"/>
      <c r="H83" s="5"/>
      <c r="I83" s="5"/>
    </row>
    <row r="84">
      <c r="A84" s="5"/>
      <c r="B84" s="5"/>
      <c r="C84" s="5"/>
      <c r="D84" s="5"/>
      <c r="E84" s="5"/>
      <c r="F84" s="5"/>
      <c r="G84" s="5"/>
      <c r="H84" s="5"/>
      <c r="I84" s="5"/>
    </row>
    <row r="85">
      <c r="A85" s="5"/>
      <c r="B85" s="5"/>
      <c r="C85" s="5"/>
      <c r="D85" s="5"/>
      <c r="E85" s="5"/>
      <c r="F85" s="5"/>
      <c r="G85" s="5"/>
      <c r="H85" s="5"/>
      <c r="I85" s="5"/>
    </row>
    <row r="86">
      <c r="A86" s="5"/>
      <c r="B86" s="5"/>
      <c r="C86" s="5"/>
      <c r="D86" s="5"/>
      <c r="E86" s="5"/>
      <c r="F86" s="5"/>
      <c r="G86" s="5"/>
      <c r="H86" s="5"/>
      <c r="I86" s="5"/>
    </row>
    <row r="87">
      <c r="A87" s="5"/>
      <c r="B87" s="5"/>
      <c r="C87" s="5"/>
      <c r="D87" s="5"/>
      <c r="E87" s="5"/>
      <c r="F87" s="5"/>
      <c r="G87" s="5"/>
      <c r="H87" s="5"/>
      <c r="I87" s="5"/>
    </row>
    <row r="88">
      <c r="A88" s="5"/>
      <c r="B88" s="5"/>
      <c r="C88" s="5"/>
      <c r="D88" s="5"/>
      <c r="E88" s="5"/>
      <c r="F88" s="5"/>
      <c r="G88" s="5"/>
      <c r="H88" s="5"/>
      <c r="I88" s="5"/>
    </row>
    <row r="89">
      <c r="A89" s="5"/>
      <c r="B89" s="5"/>
      <c r="C89" s="5"/>
      <c r="D89" s="5"/>
      <c r="E89" s="5"/>
      <c r="F89" s="5"/>
      <c r="G89" s="5"/>
      <c r="H89" s="5"/>
      <c r="I89" s="5"/>
    </row>
    <row r="90">
      <c r="A90" s="5"/>
      <c r="B90" s="5"/>
      <c r="C90" s="5"/>
      <c r="D90" s="5"/>
      <c r="E90" s="5"/>
      <c r="F90" s="5"/>
      <c r="G90" s="5"/>
      <c r="H90" s="5"/>
      <c r="I90" s="5"/>
    </row>
    <row r="91">
      <c r="A91" s="5"/>
      <c r="B91" s="5"/>
      <c r="C91" s="5"/>
      <c r="D91" s="5"/>
      <c r="E91" s="5"/>
      <c r="F91" s="5"/>
      <c r="G91" s="5"/>
      <c r="H91" s="5"/>
      <c r="I91" s="5"/>
    </row>
    <row r="92">
      <c r="A92" s="5"/>
      <c r="B92" s="5"/>
      <c r="C92" s="5"/>
      <c r="D92" s="5"/>
      <c r="E92" s="5"/>
      <c r="F92" s="5"/>
      <c r="G92" s="5"/>
      <c r="H92" s="5"/>
      <c r="I92" s="5"/>
    </row>
    <row r="93">
      <c r="A93" s="5"/>
      <c r="B93" s="5"/>
      <c r="C93" s="5"/>
      <c r="D93" s="5"/>
      <c r="E93" s="5"/>
      <c r="F93" s="5"/>
      <c r="G93" s="5"/>
      <c r="H93" s="5"/>
      <c r="I93" s="5"/>
    </row>
    <row r="94">
      <c r="A94" s="5"/>
      <c r="B94" s="5"/>
      <c r="C94" s="5"/>
      <c r="D94" s="5"/>
      <c r="E94" s="5"/>
      <c r="F94" s="5"/>
      <c r="G94" s="5"/>
      <c r="H94" s="5"/>
      <c r="I94" s="5"/>
    </row>
    <row r="95">
      <c r="A95" s="5"/>
      <c r="B95" s="5"/>
      <c r="C95" s="5"/>
      <c r="D95" s="5"/>
      <c r="E95" s="5"/>
      <c r="F95" s="5"/>
      <c r="G95" s="5"/>
      <c r="H95" s="5"/>
      <c r="I95" s="5"/>
    </row>
    <row r="96">
      <c r="A96" s="5"/>
      <c r="B96" s="5"/>
      <c r="C96" s="5"/>
      <c r="D96" s="5"/>
      <c r="E96" s="5"/>
      <c r="F96" s="5"/>
      <c r="G96" s="5"/>
      <c r="H96" s="5"/>
      <c r="I96" s="5"/>
    </row>
    <row r="97">
      <c r="A97" s="5"/>
      <c r="B97" s="5"/>
      <c r="C97" s="5"/>
      <c r="D97" s="5"/>
      <c r="E97" s="5"/>
      <c r="F97" s="5"/>
      <c r="G97" s="5"/>
      <c r="H97" s="5"/>
      <c r="I97" s="5"/>
    </row>
    <row r="98">
      <c r="A98" s="5"/>
      <c r="B98" s="5"/>
      <c r="C98" s="5"/>
      <c r="D98" s="5"/>
      <c r="E98" s="5"/>
      <c r="F98" s="5"/>
      <c r="G98" s="5"/>
      <c r="H98" s="5"/>
      <c r="I98" s="5"/>
    </row>
    <row r="99">
      <c r="A99" s="5"/>
      <c r="B99" s="5"/>
      <c r="C99" s="5"/>
      <c r="D99" s="5"/>
      <c r="E99" s="5"/>
      <c r="F99" s="5"/>
      <c r="G99" s="5"/>
      <c r="H99" s="5"/>
      <c r="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4"/>
    <hyperlink r:id="rId13" ref="H15"/>
    <hyperlink r:id="rId14" ref="H16"/>
    <hyperlink r:id="rId15" ref="H17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8"/>
    <hyperlink r:id="rId26" ref="H29"/>
    <hyperlink r:id="rId27" ref="H30"/>
    <hyperlink r:id="rId28" ref="H31"/>
    <hyperlink r:id="rId29" ref="H32"/>
    <hyperlink r:id="rId30" ref="H33"/>
    <hyperlink r:id="rId31" ref="H34"/>
    <hyperlink r:id="rId32" ref="H35"/>
    <hyperlink r:id="rId33" ref="H36"/>
    <hyperlink r:id="rId34" ref="H37"/>
    <hyperlink r:id="rId35" ref="H38"/>
    <hyperlink r:id="rId36" ref="H39"/>
    <hyperlink r:id="rId37" ref="H40"/>
    <hyperlink r:id="rId38" ref="H41"/>
    <hyperlink r:id="rId39" ref="H42"/>
    <hyperlink r:id="rId40" ref="H4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1"/>
</worksheet>
</file>