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f364mpe\Documents\Alternance_Mathys\Ecole\ESISAR\"/>
    </mc:Choice>
  </mc:AlternateContent>
  <xr:revisionPtr revIDLastSave="0" documentId="13_ncr:1_{40D311B0-623F-4D5F-86FD-4614A7DBCB28}" xr6:coauthVersionLast="47" xr6:coauthVersionMax="47" xr10:uidLastSave="{00000000-0000-0000-0000-000000000000}"/>
  <bookViews>
    <workbookView xWindow="28680" yWindow="-120" windowWidth="28110" windowHeight="16440" xr2:uid="{C36ED272-A235-44F9-AB10-AE89F11F6D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L12" i="1"/>
  <c r="L17" i="1"/>
  <c r="L22" i="1"/>
  <c r="J9" i="1"/>
  <c r="J4" i="1"/>
  <c r="J19" i="1"/>
  <c r="J20" i="1"/>
  <c r="J21" i="1"/>
  <c r="J22" i="1"/>
  <c r="J23" i="1"/>
  <c r="J24" i="1"/>
  <c r="L28" i="1"/>
  <c r="I25" i="1"/>
  <c r="I23" i="1"/>
  <c r="L23" i="1" s="1"/>
  <c r="I21" i="1"/>
  <c r="L21" i="1" s="1"/>
  <c r="I22" i="1"/>
  <c r="I20" i="1"/>
  <c r="L20" i="1" s="1"/>
  <c r="I19" i="1"/>
  <c r="L19" i="1" s="1"/>
  <c r="I17" i="1"/>
  <c r="I16" i="1"/>
  <c r="L16" i="1" s="1"/>
  <c r="I15" i="1"/>
  <c r="L15" i="1" s="1"/>
  <c r="I3" i="1"/>
  <c r="L3" i="1" s="1"/>
  <c r="I14" i="1"/>
  <c r="L14" i="1" s="1"/>
  <c r="I12" i="1"/>
  <c r="I11" i="1"/>
  <c r="L11" i="1" s="1"/>
  <c r="I10" i="1"/>
  <c r="L10" i="1" s="1"/>
  <c r="I9" i="1"/>
  <c r="L9" i="1" s="1"/>
  <c r="I7" i="1"/>
  <c r="L7" i="1" s="1"/>
  <c r="K5" i="1"/>
  <c r="K6" i="1"/>
  <c r="K7" i="1"/>
  <c r="K10" i="1"/>
  <c r="K11" i="1"/>
  <c r="K12" i="1"/>
  <c r="K14" i="1"/>
  <c r="K15" i="1"/>
  <c r="K16" i="1"/>
  <c r="K17" i="1"/>
  <c r="K3" i="1"/>
  <c r="I6" i="1"/>
  <c r="L6" i="1" s="1"/>
  <c r="I5" i="1"/>
  <c r="L5" i="1" s="1"/>
  <c r="I4" i="1"/>
  <c r="L24" i="1" l="1"/>
  <c r="L4" i="1"/>
  <c r="J25" i="1"/>
  <c r="L25" i="1" s="1"/>
  <c r="K25" i="1"/>
  <c r="L27" i="1" l="1"/>
  <c r="L29" i="1" s="1"/>
  <c r="L30" i="1" s="1"/>
</calcChain>
</file>

<file path=xl/sharedStrings.xml><?xml version="1.0" encoding="utf-8"?>
<sst xmlns="http://schemas.openxmlformats.org/spreadsheetml/2006/main" count="79" uniqueCount="71">
  <si>
    <t>Durée Totale (h)</t>
  </si>
  <si>
    <t>Durée Totale (s)</t>
  </si>
  <si>
    <t>Charge Consommée (mAh)</t>
  </si>
  <si>
    <t>Capacité Batterie (mAh) :</t>
  </si>
  <si>
    <t>Autonomie Estimée (Jours) :</t>
  </si>
  <si>
    <t>Consumption/Capacity Inputs</t>
  </si>
  <si>
    <t>Function</t>
  </si>
  <si>
    <t>mA</t>
  </si>
  <si>
    <t>MCU</t>
  </si>
  <si>
    <t xml:space="preserve"> Run</t>
  </si>
  <si>
    <t xml:space="preserve"> RX</t>
  </si>
  <si>
    <t xml:space="preserve"> TX</t>
  </si>
  <si>
    <t xml:space="preserve"> Sleep</t>
  </si>
  <si>
    <t>Sleep</t>
  </si>
  <si>
    <t>Battery</t>
  </si>
  <si>
    <t>Capacity</t>
  </si>
  <si>
    <t>IMU</t>
  </si>
  <si>
    <t>Temperature</t>
  </si>
  <si>
    <t>Induction</t>
  </si>
  <si>
    <t>Biometric</t>
  </si>
  <si>
    <t>Haptic</t>
  </si>
  <si>
    <t>Phase d'Activité</t>
  </si>
  <si>
    <t>Composant et Fonction</t>
  </si>
  <si>
    <t>Note de Scénario</t>
  </si>
  <si>
    <t>BHI260AP : Suivi de Pas (1 Hz)</t>
  </si>
  <si>
    <t>Suivi passif des pas.</t>
  </si>
  <si>
    <t>STTS22H : Lecture Périodique (24h)</t>
  </si>
  <si>
    <t>Lecture 1x / 5 minutes sur 24h.</t>
  </si>
  <si>
    <t>Biométrie (Ensemble) : Désactivé</t>
  </si>
  <si>
    <t>Capteurs (Hub + Optique) en mode veille.</t>
  </si>
  <si>
    <t>nRF5340 : BLE Tx Actif</t>
  </si>
  <si>
    <t>BHI260AP : Haute Fréquence (IMU)</t>
  </si>
  <si>
    <t>MAX32664 : Hub Actif</t>
  </si>
  <si>
    <t>Traitement DSP.</t>
  </si>
  <si>
    <t>MAX30101 : LEDs Actives</t>
  </si>
  <si>
    <t>Haute consommation optique continue (1s).</t>
  </si>
  <si>
    <t>C. SUIVI SOMMEIL (8 h)</t>
  </si>
  <si>
    <t>Se réveille pour stocker les données.</t>
  </si>
  <si>
    <t>Détection des phases de sommeil.</t>
  </si>
  <si>
    <t>Basse fréquence pour la surveillance BPM/HRV (3s).</t>
  </si>
  <si>
    <t>D. ÉVÉNEMENTS DISCRETS (Pics de Courant)</t>
  </si>
  <si>
    <t>15s d'activité cumulée des drivers.</t>
  </si>
  <si>
    <t>LRA Motor : Notifications/Appels</t>
  </si>
  <si>
    <t>Courant de crête tiré par le moteur.</t>
  </si>
  <si>
    <t>DRV2605L : Driver Réveil</t>
  </si>
  <si>
    <t>30s d'activité du driver.</t>
  </si>
  <si>
    <t>LRA Motor : Réveil</t>
  </si>
  <si>
    <t>Total Charge Consommée sur 24h :</t>
  </si>
  <si>
    <t>Run</t>
  </si>
  <si>
    <t>Hub Run</t>
  </si>
  <si>
    <t>Sensor Run</t>
  </si>
  <si>
    <t>Low Power Mode 1Hz</t>
  </si>
  <si>
    <t>High Frequency</t>
  </si>
  <si>
    <t>Supply LRA</t>
  </si>
  <si>
    <t>LRA Motor Active</t>
  </si>
  <si>
    <t>Cœur actif, attendant un événement (courant de base).</t>
  </si>
  <si>
    <t>Précision maximale.</t>
  </si>
  <si>
    <t>nRF5340 : Sync Sommeil (Pic Tx)</t>
  </si>
  <si>
    <t>Synchronisation des 8h de données de sommeil.</t>
  </si>
  <si>
    <t>nRF5340 : Pic Sync Périodique (Tx)</t>
  </si>
  <si>
    <t>Conso de courant</t>
  </si>
  <si>
    <t>BHI260AP : Low Power</t>
  </si>
  <si>
    <t>Haptique : Sleep (rest of the time)</t>
  </si>
  <si>
    <t>nRF5340 : BLE Rx Notif/Appels</t>
  </si>
  <si>
    <t>DRV2605L : Driver Notifs/Appels</t>
  </si>
  <si>
    <t>B. SPORT (1 h)</t>
  </si>
  <si>
    <t>A. JOURNÉE STANDARD (15 h)</t>
  </si>
  <si>
    <t>Autonomie Estimée (Heures) :</t>
  </si>
  <si>
    <t xml:space="preserve">nRF5340 : Veille </t>
  </si>
  <si>
    <t>174 événements ×50 ms. (majoré)</t>
  </si>
  <si>
    <t>Envoi de données en direct (streaming). (majoré)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</si>
</sst>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2" xfId="0" applyBorder="1"/>
    <xf numFmtId="0" fontId="0" fillId="0" borderId="33" xfId="0" applyBorder="1"/>
    <xf numFmtId="0" fontId="0" fillId="0" borderId="34" xfId="0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8" xfId="0" applyBorder="1"/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41" xfId="0" applyBorder="1"/>
    <xf numFmtId="0" fontId="3" fillId="0" borderId="4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3" xfId="0" applyBorder="1"/>
    <xf numFmtId="0" fontId="0" fillId="0" borderId="2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2" xfId="0" applyBorder="1"/>
    <xf numFmtId="0" fontId="0" fillId="0" borderId="16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0" fillId="0" borderId="23" xfId="0" applyFont="1" applyBorder="1" applyAlignment="1">
      <alignment vertical="center"/>
    </xf>
    <xf numFmtId="0" fontId="0" fillId="0" borderId="23" xfId="0" applyFont="1" applyBorder="1" applyAlignment="1">
      <alignment wrapText="1"/>
    </xf>
    <xf numFmtId="0" fontId="0" fillId="0" borderId="23" xfId="0" applyFont="1" applyBorder="1" applyAlignment="1">
      <alignment horizontal="center" wrapText="1"/>
    </xf>
    <xf numFmtId="0" fontId="0" fillId="3" borderId="23" xfId="0" applyFont="1" applyFill="1" applyBorder="1" applyAlignment="1">
      <alignment vertical="center"/>
    </xf>
    <xf numFmtId="0" fontId="0" fillId="3" borderId="23" xfId="0" applyFont="1" applyFill="1" applyBorder="1" applyAlignment="1">
      <alignment wrapText="1"/>
    </xf>
    <xf numFmtId="0" fontId="0" fillId="3" borderId="23" xfId="0" applyFont="1" applyFill="1" applyBorder="1" applyAlignment="1">
      <alignment horizontal="center" wrapText="1"/>
    </xf>
    <xf numFmtId="0" fontId="0" fillId="3" borderId="45" xfId="0" applyFont="1" applyFill="1" applyBorder="1" applyAlignment="1">
      <alignment vertical="center"/>
    </xf>
    <xf numFmtId="0" fontId="0" fillId="3" borderId="45" xfId="0" applyFont="1" applyFill="1" applyBorder="1" applyAlignment="1">
      <alignment wrapText="1"/>
    </xf>
    <xf numFmtId="0" fontId="0" fillId="3" borderId="45" xfId="0" applyFont="1" applyFill="1" applyBorder="1" applyAlignment="1">
      <alignment horizontal="center" wrapText="1"/>
    </xf>
    <xf numFmtId="0" fontId="5" fillId="3" borderId="46" xfId="0" applyFont="1" applyFill="1" applyBorder="1" applyAlignment="1">
      <alignment vertical="center"/>
    </xf>
    <xf numFmtId="0" fontId="5" fillId="3" borderId="46" xfId="0" applyFont="1" applyFill="1" applyBorder="1" applyAlignment="1">
      <alignment wrapText="1"/>
    </xf>
    <xf numFmtId="0" fontId="5" fillId="3" borderId="46" xfId="0" applyFont="1" applyFill="1" applyBorder="1" applyAlignment="1">
      <alignment horizontal="center" wrapText="1"/>
    </xf>
    <xf numFmtId="0" fontId="0" fillId="3" borderId="46" xfId="0" applyFont="1" applyFill="1" applyBorder="1" applyAlignment="1">
      <alignment wrapText="1"/>
    </xf>
    <xf numFmtId="0" fontId="4" fillId="4" borderId="47" xfId="0" applyFont="1" applyFill="1" applyBorder="1" applyAlignment="1">
      <alignment vertical="center"/>
    </xf>
    <xf numFmtId="0" fontId="4" fillId="4" borderId="48" xfId="0" applyFont="1" applyFill="1" applyBorder="1" applyAlignment="1">
      <alignment wrapText="1"/>
    </xf>
    <xf numFmtId="0" fontId="5" fillId="4" borderId="48" xfId="0" applyFont="1" applyFill="1" applyBorder="1" applyAlignment="1">
      <alignment horizontal="center" wrapText="1"/>
    </xf>
    <xf numFmtId="0" fontId="4" fillId="4" borderId="48" xfId="0" applyFont="1" applyFill="1" applyBorder="1" applyAlignment="1">
      <alignment horizontal="center" vertical="center"/>
    </xf>
    <xf numFmtId="0" fontId="0" fillId="4" borderId="49" xfId="0" applyFont="1" applyFill="1" applyBorder="1" applyAlignment="1">
      <alignment wrapText="1"/>
    </xf>
    <xf numFmtId="0" fontId="4" fillId="4" borderId="50" xfId="0" applyFont="1" applyFill="1" applyBorder="1" applyAlignment="1">
      <alignment vertical="center"/>
    </xf>
    <xf numFmtId="0" fontId="4" fillId="4" borderId="51" xfId="0" applyFont="1" applyFill="1" applyBorder="1" applyAlignment="1">
      <alignment wrapText="1"/>
    </xf>
    <xf numFmtId="0" fontId="5" fillId="4" borderId="51" xfId="0" applyFont="1" applyFill="1" applyBorder="1" applyAlignment="1">
      <alignment horizontal="center" wrapText="1"/>
    </xf>
    <xf numFmtId="0" fontId="4" fillId="4" borderId="51" xfId="0" applyFont="1" applyFill="1" applyBorder="1" applyAlignment="1">
      <alignment horizontal="center" wrapText="1"/>
    </xf>
    <xf numFmtId="0" fontId="0" fillId="4" borderId="5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FD93-3441-4206-9444-558980560660}">
  <dimension ref="B1:M30"/>
  <sheetViews>
    <sheetView tabSelected="1" zoomScaleNormal="100" workbookViewId="0">
      <selection activeCell="N4" sqref="N4"/>
    </sheetView>
  </sheetViews>
  <sheetFormatPr baseColWidth="10" defaultRowHeight="15" x14ac:dyDescent="0.25"/>
  <cols>
    <col min="1" max="1" width="11.42578125" customWidth="1"/>
    <col min="2" max="2" width="12.5703125" customWidth="1"/>
    <col min="3" max="3" width="20.7109375" customWidth="1"/>
    <col min="4" max="7" width="11.42578125" customWidth="1"/>
    <col min="8" max="8" width="33.42578125" customWidth="1"/>
    <col min="9" max="9" width="22.7109375" customWidth="1"/>
    <col min="10" max="10" width="14.7109375" customWidth="1"/>
    <col min="11" max="11" width="14.5703125" customWidth="1"/>
    <col min="12" max="12" width="12.85546875" customWidth="1"/>
    <col min="13" max="13" width="55.140625" customWidth="1"/>
  </cols>
  <sheetData>
    <row r="1" spans="2:13" ht="44.25" customHeight="1" thickBot="1" x14ac:dyDescent="0.3">
      <c r="B1" s="43" t="s">
        <v>5</v>
      </c>
      <c r="C1" s="44"/>
      <c r="D1" s="44"/>
      <c r="E1" s="45"/>
      <c r="F1" s="46"/>
      <c r="G1" s="47" t="s">
        <v>21</v>
      </c>
      <c r="H1" s="47" t="s">
        <v>22</v>
      </c>
      <c r="I1" s="47" t="s">
        <v>60</v>
      </c>
      <c r="J1" s="47" t="s">
        <v>0</v>
      </c>
      <c r="K1" s="47" t="s">
        <v>1</v>
      </c>
      <c r="L1" s="47" t="s">
        <v>2</v>
      </c>
      <c r="M1" s="48" t="s">
        <v>23</v>
      </c>
    </row>
    <row r="2" spans="2:13" ht="15.75" thickBot="1" x14ac:dyDescent="0.3">
      <c r="B2" s="1" t="s">
        <v>6</v>
      </c>
      <c r="C2" s="2"/>
      <c r="D2" s="2" t="s">
        <v>7</v>
      </c>
      <c r="E2" s="3"/>
      <c r="G2" s="52" t="s">
        <v>66</v>
      </c>
      <c r="H2" s="53"/>
      <c r="I2" s="54"/>
      <c r="J2" s="54"/>
      <c r="K2" s="54"/>
      <c r="L2" s="54"/>
      <c r="M2" s="53"/>
    </row>
    <row r="3" spans="2:13" ht="15.75" customHeight="1" thickBot="1" x14ac:dyDescent="0.3">
      <c r="B3" s="26" t="s">
        <v>8</v>
      </c>
      <c r="C3" s="24" t="s">
        <v>9</v>
      </c>
      <c r="D3" s="4">
        <v>8.1999999999999993</v>
      </c>
      <c r="E3" s="5"/>
      <c r="G3" s="50"/>
      <c r="H3" s="50" t="s">
        <v>68</v>
      </c>
      <c r="I3" s="51">
        <f>D6</f>
        <v>1.2999999999999999E-3</v>
      </c>
      <c r="J3" s="51">
        <v>15</v>
      </c>
      <c r="K3" s="51">
        <f>J3*60*60</f>
        <v>54000</v>
      </c>
      <c r="L3" s="51">
        <f>ROUND(I3*J3,4)</f>
        <v>1.95E-2</v>
      </c>
      <c r="M3" s="49" t="s">
        <v>55</v>
      </c>
    </row>
    <row r="4" spans="2:13" ht="18" customHeight="1" thickBot="1" x14ac:dyDescent="0.3">
      <c r="B4" s="27"/>
      <c r="C4" s="25" t="s">
        <v>10</v>
      </c>
      <c r="D4" s="6">
        <v>3.7</v>
      </c>
      <c r="E4" s="7"/>
      <c r="G4" s="50"/>
      <c r="H4" s="50" t="s">
        <v>59</v>
      </c>
      <c r="I4" s="51">
        <f>D3+D5</f>
        <v>12.299999999999999</v>
      </c>
      <c r="J4" s="51">
        <f>ROUND(K4/3600,4)</f>
        <v>1.67E-2</v>
      </c>
      <c r="K4" s="51">
        <v>60</v>
      </c>
      <c r="L4" s="51">
        <f t="shared" ref="L4:L25" si="0">ROUND(I4*J4,4)</f>
        <v>0.2054</v>
      </c>
      <c r="M4" s="49" t="s">
        <v>69</v>
      </c>
    </row>
    <row r="5" spans="2:13" ht="14.25" customHeight="1" thickBot="1" x14ac:dyDescent="0.3">
      <c r="B5" s="27"/>
      <c r="C5" s="25" t="s">
        <v>11</v>
      </c>
      <c r="D5" s="6">
        <v>4.0999999999999996</v>
      </c>
      <c r="E5" s="7"/>
      <c r="G5" s="50"/>
      <c r="H5" s="50" t="s">
        <v>24</v>
      </c>
      <c r="I5" s="51">
        <f>D13</f>
        <v>1.2E-2</v>
      </c>
      <c r="J5" s="51">
        <v>15</v>
      </c>
      <c r="K5" s="51">
        <f t="shared" ref="K5:K25" si="1">J5*60*60</f>
        <v>54000</v>
      </c>
      <c r="L5" s="51">
        <f t="shared" si="0"/>
        <v>0.18</v>
      </c>
      <c r="M5" s="49" t="s">
        <v>25</v>
      </c>
    </row>
    <row r="6" spans="2:13" ht="15.75" customHeight="1" thickBot="1" x14ac:dyDescent="0.3">
      <c r="B6" s="28"/>
      <c r="C6" s="30" t="s">
        <v>12</v>
      </c>
      <c r="D6" s="31">
        <v>1.2999999999999999E-3</v>
      </c>
      <c r="E6" s="32"/>
      <c r="G6" s="50"/>
      <c r="H6" s="50" t="s">
        <v>26</v>
      </c>
      <c r="I6" s="51">
        <f>D7</f>
        <v>2E-3</v>
      </c>
      <c r="J6" s="51">
        <v>24</v>
      </c>
      <c r="K6" s="51">
        <f t="shared" si="1"/>
        <v>86400</v>
      </c>
      <c r="L6" s="51">
        <f t="shared" si="0"/>
        <v>4.8000000000000001E-2</v>
      </c>
      <c r="M6" s="49" t="s">
        <v>27</v>
      </c>
    </row>
    <row r="7" spans="2:13" ht="15.75" customHeight="1" thickBot="1" x14ac:dyDescent="0.3">
      <c r="B7" s="26" t="s">
        <v>17</v>
      </c>
      <c r="C7" s="42" t="s">
        <v>48</v>
      </c>
      <c r="D7" s="4">
        <v>2E-3</v>
      </c>
      <c r="E7" s="5"/>
      <c r="G7" s="50"/>
      <c r="H7" s="50" t="s">
        <v>28</v>
      </c>
      <c r="I7" s="51">
        <f>D11</f>
        <v>8.9999999999999998E-4</v>
      </c>
      <c r="J7" s="51">
        <v>15</v>
      </c>
      <c r="K7" s="51">
        <f t="shared" si="1"/>
        <v>54000</v>
      </c>
      <c r="L7" s="51">
        <f t="shared" si="0"/>
        <v>1.35E-2</v>
      </c>
      <c r="M7" s="49" t="s">
        <v>29</v>
      </c>
    </row>
    <row r="8" spans="2:13" ht="15.75" customHeight="1" thickBot="1" x14ac:dyDescent="0.3">
      <c r="B8" s="28"/>
      <c r="C8" s="41" t="s">
        <v>13</v>
      </c>
      <c r="D8" s="17">
        <v>5.0000000000000001E-4</v>
      </c>
      <c r="E8" s="18"/>
      <c r="G8" s="52" t="s">
        <v>65</v>
      </c>
      <c r="H8" s="53"/>
      <c r="I8" s="54"/>
      <c r="J8" s="54"/>
      <c r="K8" s="54"/>
      <c r="L8" s="54"/>
      <c r="M8" s="53"/>
    </row>
    <row r="9" spans="2:13" ht="15.75" customHeight="1" thickBot="1" x14ac:dyDescent="0.3">
      <c r="B9" s="26" t="s">
        <v>19</v>
      </c>
      <c r="C9" s="23" t="s">
        <v>49</v>
      </c>
      <c r="D9" s="22">
        <v>0.24</v>
      </c>
      <c r="E9" s="33"/>
      <c r="G9" s="50"/>
      <c r="H9" s="50" t="s">
        <v>30</v>
      </c>
      <c r="I9" s="51">
        <f>D3+D5</f>
        <v>12.299999999999999</v>
      </c>
      <c r="J9" s="51">
        <f>ROUND(K9/3600,4)</f>
        <v>3.3300000000000003E-2</v>
      </c>
      <c r="K9" s="51">
        <v>120</v>
      </c>
      <c r="L9" s="51">
        <f t="shared" si="0"/>
        <v>0.40960000000000002</v>
      </c>
      <c r="M9" s="49" t="s">
        <v>70</v>
      </c>
    </row>
    <row r="10" spans="2:13" ht="15.75" customHeight="1" thickBot="1" x14ac:dyDescent="0.3">
      <c r="B10" s="27"/>
      <c r="C10" s="23" t="s">
        <v>50</v>
      </c>
      <c r="D10" s="6">
        <v>0.6</v>
      </c>
      <c r="E10" s="7"/>
      <c r="G10" s="50"/>
      <c r="H10" s="50" t="s">
        <v>31</v>
      </c>
      <c r="I10" s="51">
        <f>D12</f>
        <v>0.95</v>
      </c>
      <c r="J10" s="51">
        <v>1</v>
      </c>
      <c r="K10" s="51">
        <f t="shared" si="1"/>
        <v>3600</v>
      </c>
      <c r="L10" s="51">
        <f t="shared" si="0"/>
        <v>0.95</v>
      </c>
      <c r="M10" s="49" t="s">
        <v>56</v>
      </c>
    </row>
    <row r="11" spans="2:13" ht="15.75" customHeight="1" thickBot="1" x14ac:dyDescent="0.3">
      <c r="B11" s="28"/>
      <c r="C11" s="23" t="s">
        <v>13</v>
      </c>
      <c r="D11" s="8">
        <v>8.9999999999999998E-4</v>
      </c>
      <c r="E11" s="9"/>
      <c r="G11" s="50"/>
      <c r="H11" s="50" t="s">
        <v>32</v>
      </c>
      <c r="I11" s="51">
        <f>D9</f>
        <v>0.24</v>
      </c>
      <c r="J11" s="51">
        <v>1</v>
      </c>
      <c r="K11" s="51">
        <f t="shared" si="1"/>
        <v>3600</v>
      </c>
      <c r="L11" s="51">
        <f t="shared" si="0"/>
        <v>0.24</v>
      </c>
      <c r="M11" s="50" t="s">
        <v>33</v>
      </c>
    </row>
    <row r="12" spans="2:13" ht="18.75" customHeight="1" thickBot="1" x14ac:dyDescent="0.3">
      <c r="B12" s="38" t="s">
        <v>16</v>
      </c>
      <c r="C12" s="24" t="s">
        <v>52</v>
      </c>
      <c r="D12" s="10">
        <v>0.95</v>
      </c>
      <c r="E12" s="11"/>
      <c r="G12" s="50"/>
      <c r="H12" s="50" t="s">
        <v>34</v>
      </c>
      <c r="I12" s="51">
        <f>D10</f>
        <v>0.6</v>
      </c>
      <c r="J12" s="51">
        <v>1</v>
      </c>
      <c r="K12" s="51">
        <f t="shared" si="1"/>
        <v>3600</v>
      </c>
      <c r="L12" s="51">
        <f t="shared" si="0"/>
        <v>0.6</v>
      </c>
      <c r="M12" s="49" t="s">
        <v>35</v>
      </c>
    </row>
    <row r="13" spans="2:13" ht="16.5" customHeight="1" thickBot="1" x14ac:dyDescent="0.3">
      <c r="B13" s="39"/>
      <c r="C13" s="37" t="s">
        <v>51</v>
      </c>
      <c r="D13" s="12">
        <v>1.2E-2</v>
      </c>
      <c r="E13" s="13"/>
      <c r="G13" s="52" t="s">
        <v>36</v>
      </c>
      <c r="H13" s="53"/>
      <c r="I13" s="54"/>
      <c r="J13" s="54"/>
      <c r="K13" s="54"/>
      <c r="L13" s="54"/>
      <c r="M13" s="53"/>
    </row>
    <row r="14" spans="2:13" ht="16.5" customHeight="1" thickBot="1" x14ac:dyDescent="0.3">
      <c r="B14" s="26" t="s">
        <v>20</v>
      </c>
      <c r="C14" s="14" t="s">
        <v>53</v>
      </c>
      <c r="D14" s="20">
        <v>0.5</v>
      </c>
      <c r="E14" s="21"/>
      <c r="G14" s="50"/>
      <c r="H14" s="50" t="s">
        <v>68</v>
      </c>
      <c r="I14" s="51">
        <f>D6</f>
        <v>1.2999999999999999E-3</v>
      </c>
      <c r="J14" s="51">
        <v>8</v>
      </c>
      <c r="K14" s="51">
        <f t="shared" si="1"/>
        <v>28800</v>
      </c>
      <c r="L14" s="51">
        <f t="shared" si="0"/>
        <v>1.04E-2</v>
      </c>
      <c r="M14" s="49" t="s">
        <v>37</v>
      </c>
    </row>
    <row r="15" spans="2:13" ht="16.5" customHeight="1" thickBot="1" x14ac:dyDescent="0.3">
      <c r="B15" s="27"/>
      <c r="C15" s="14" t="s">
        <v>54</v>
      </c>
      <c r="D15" s="16">
        <v>85</v>
      </c>
      <c r="E15" s="19"/>
      <c r="G15" s="50"/>
      <c r="H15" s="50" t="s">
        <v>61</v>
      </c>
      <c r="I15" s="51">
        <f>D13</f>
        <v>1.2E-2</v>
      </c>
      <c r="J15" s="51">
        <v>8</v>
      </c>
      <c r="K15" s="51">
        <f t="shared" si="1"/>
        <v>28800</v>
      </c>
      <c r="L15" s="51">
        <f t="shared" si="0"/>
        <v>9.6000000000000002E-2</v>
      </c>
      <c r="M15" s="49" t="s">
        <v>38</v>
      </c>
    </row>
    <row r="16" spans="2:13" ht="16.5" customHeight="1" thickBot="1" x14ac:dyDescent="0.3">
      <c r="B16" s="28"/>
      <c r="C16" s="15" t="s">
        <v>13</v>
      </c>
      <c r="D16" s="17">
        <v>5.0000000000000001E-3</v>
      </c>
      <c r="E16" s="18"/>
      <c r="G16" s="50"/>
      <c r="H16" s="50" t="s">
        <v>32</v>
      </c>
      <c r="I16" s="51">
        <f>D9</f>
        <v>0.24</v>
      </c>
      <c r="J16" s="51">
        <v>1.6</v>
      </c>
      <c r="K16" s="51">
        <f t="shared" si="1"/>
        <v>5760</v>
      </c>
      <c r="L16" s="51">
        <f t="shared" si="0"/>
        <v>0.38400000000000001</v>
      </c>
      <c r="M16" s="50" t="s">
        <v>33</v>
      </c>
    </row>
    <row r="17" spans="2:13" ht="16.5" customHeight="1" thickBot="1" x14ac:dyDescent="0.3">
      <c r="B17" s="40" t="s">
        <v>18</v>
      </c>
      <c r="C17" s="14" t="s">
        <v>13</v>
      </c>
      <c r="D17" s="17"/>
      <c r="E17" s="18"/>
      <c r="G17" s="50"/>
      <c r="H17" s="50" t="s">
        <v>34</v>
      </c>
      <c r="I17" s="51">
        <f>D10</f>
        <v>0.6</v>
      </c>
      <c r="J17" s="51">
        <v>1.6</v>
      </c>
      <c r="K17" s="51">
        <f t="shared" si="1"/>
        <v>5760</v>
      </c>
      <c r="L17" s="51">
        <f t="shared" si="0"/>
        <v>0.96</v>
      </c>
      <c r="M17" s="49" t="s">
        <v>39</v>
      </c>
    </row>
    <row r="18" spans="2:13" ht="17.25" customHeight="1" thickBot="1" x14ac:dyDescent="0.3">
      <c r="B18" s="29" t="s">
        <v>14</v>
      </c>
      <c r="C18" s="34" t="s">
        <v>15</v>
      </c>
      <c r="D18" s="35">
        <v>20</v>
      </c>
      <c r="E18" s="36"/>
      <c r="G18" s="52" t="s">
        <v>40</v>
      </c>
      <c r="H18" s="53"/>
      <c r="I18" s="54"/>
      <c r="J18" s="54"/>
      <c r="K18" s="54"/>
      <c r="L18" s="54"/>
      <c r="M18" s="53"/>
    </row>
    <row r="19" spans="2:13" ht="16.5" customHeight="1" thickBot="1" x14ac:dyDescent="0.3">
      <c r="G19" s="50"/>
      <c r="H19" s="50" t="s">
        <v>57</v>
      </c>
      <c r="I19" s="51">
        <f>D3+D5</f>
        <v>12.299999999999999</v>
      </c>
      <c r="J19" s="51">
        <f>ROUND(K19/3600,4)</f>
        <v>3.3300000000000003E-2</v>
      </c>
      <c r="K19" s="51">
        <v>120</v>
      </c>
      <c r="L19" s="51">
        <f t="shared" si="0"/>
        <v>0.40960000000000002</v>
      </c>
      <c r="M19" s="49" t="s">
        <v>58</v>
      </c>
    </row>
    <row r="20" spans="2:13" ht="16.5" customHeight="1" thickBot="1" x14ac:dyDescent="0.3">
      <c r="G20" s="50"/>
      <c r="H20" s="50" t="s">
        <v>64</v>
      </c>
      <c r="I20" s="51">
        <f>D14</f>
        <v>0.5</v>
      </c>
      <c r="J20" s="51">
        <f t="shared" ref="J20:J24" si="2">ROUND(K20/3600,4)</f>
        <v>4.1999999999999997E-3</v>
      </c>
      <c r="K20" s="51">
        <v>15</v>
      </c>
      <c r="L20" s="51">
        <f t="shared" si="0"/>
        <v>2.0999999999999999E-3</v>
      </c>
      <c r="M20" s="49" t="s">
        <v>41</v>
      </c>
    </row>
    <row r="21" spans="2:13" ht="18" customHeight="1" thickBot="1" x14ac:dyDescent="0.3">
      <c r="G21" s="50"/>
      <c r="H21" s="50" t="s">
        <v>42</v>
      </c>
      <c r="I21" s="51">
        <f>D15</f>
        <v>85</v>
      </c>
      <c r="J21" s="51">
        <f t="shared" si="2"/>
        <v>4.1999999999999997E-3</v>
      </c>
      <c r="K21" s="51">
        <v>15</v>
      </c>
      <c r="L21" s="51">
        <f t="shared" si="0"/>
        <v>0.35699999999999998</v>
      </c>
      <c r="M21" s="49" t="s">
        <v>43</v>
      </c>
    </row>
    <row r="22" spans="2:13" ht="15.75" customHeight="1" thickBot="1" x14ac:dyDescent="0.3">
      <c r="G22" s="50"/>
      <c r="H22" s="50" t="s">
        <v>44</v>
      </c>
      <c r="I22" s="51">
        <f>D14</f>
        <v>0.5</v>
      </c>
      <c r="J22" s="51">
        <f t="shared" si="2"/>
        <v>8.3000000000000001E-3</v>
      </c>
      <c r="K22" s="51">
        <v>30</v>
      </c>
      <c r="L22" s="51">
        <f t="shared" si="0"/>
        <v>4.1999999999999997E-3</v>
      </c>
      <c r="M22" s="49" t="s">
        <v>45</v>
      </c>
    </row>
    <row r="23" spans="2:13" ht="17.25" customHeight="1" thickBot="1" x14ac:dyDescent="0.3">
      <c r="G23" s="50"/>
      <c r="H23" s="50" t="s">
        <v>46</v>
      </c>
      <c r="I23" s="51">
        <f>D15</f>
        <v>85</v>
      </c>
      <c r="J23" s="51">
        <f t="shared" si="2"/>
        <v>8.3000000000000001E-3</v>
      </c>
      <c r="K23" s="51">
        <v>30</v>
      </c>
      <c r="L23" s="51">
        <f t="shared" si="0"/>
        <v>0.70550000000000002</v>
      </c>
      <c r="M23" s="49" t="s">
        <v>43</v>
      </c>
    </row>
    <row r="24" spans="2:13" ht="17.25" customHeight="1" thickBot="1" x14ac:dyDescent="0.3">
      <c r="G24" s="50"/>
      <c r="H24" s="50" t="s">
        <v>63</v>
      </c>
      <c r="I24" s="51">
        <f>D3+D4</f>
        <v>11.899999999999999</v>
      </c>
      <c r="J24" s="51">
        <f t="shared" si="2"/>
        <v>1.2500000000000001E-2</v>
      </c>
      <c r="K24" s="51">
        <v>45</v>
      </c>
      <c r="L24" s="51">
        <f t="shared" si="0"/>
        <v>0.14879999999999999</v>
      </c>
      <c r="M24" s="49"/>
    </row>
    <row r="25" spans="2:13" ht="17.25" customHeight="1" thickBot="1" x14ac:dyDescent="0.3">
      <c r="G25" s="50"/>
      <c r="H25" s="50" t="s">
        <v>62</v>
      </c>
      <c r="I25" s="51">
        <f>D16</f>
        <v>5.0000000000000001E-3</v>
      </c>
      <c r="J25" s="51">
        <f>24-J20-J22</f>
        <v>23.987500000000001</v>
      </c>
      <c r="K25" s="51">
        <f t="shared" si="1"/>
        <v>86355</v>
      </c>
      <c r="L25" s="51">
        <f t="shared" si="0"/>
        <v>0.11990000000000001</v>
      </c>
      <c r="M25" s="49"/>
    </row>
    <row r="26" spans="2:13" ht="18" customHeight="1" thickBot="1" x14ac:dyDescent="0.3">
      <c r="G26" s="50"/>
      <c r="H26" s="50"/>
      <c r="I26" s="51"/>
      <c r="J26" s="51"/>
      <c r="K26" s="51"/>
      <c r="L26" s="51"/>
      <c r="M26" s="50"/>
    </row>
    <row r="27" spans="2:13" ht="19.5" customHeight="1" thickBot="1" x14ac:dyDescent="0.3">
      <c r="G27" s="55" t="s">
        <v>47</v>
      </c>
      <c r="H27" s="56"/>
      <c r="I27" s="57"/>
      <c r="J27" s="57"/>
      <c r="K27" s="57"/>
      <c r="L27" s="57">
        <f>SUM(L3:L7,L9:L12,L14:L17,L19:L25)</f>
        <v>5.863500000000001</v>
      </c>
      <c r="M27" s="55"/>
    </row>
    <row r="28" spans="2:13" ht="16.5" customHeight="1" thickBot="1" x14ac:dyDescent="0.3">
      <c r="G28" s="62" t="s">
        <v>3</v>
      </c>
      <c r="H28" s="63"/>
      <c r="I28" s="64"/>
      <c r="J28" s="64"/>
      <c r="K28" s="64"/>
      <c r="L28" s="65">
        <f>D18</f>
        <v>20</v>
      </c>
      <c r="M28" s="66"/>
    </row>
    <row r="29" spans="2:13" ht="15.75" customHeight="1" thickBot="1" x14ac:dyDescent="0.3">
      <c r="G29" s="67" t="s">
        <v>4</v>
      </c>
      <c r="H29" s="68"/>
      <c r="I29" s="69"/>
      <c r="J29" s="69"/>
      <c r="K29" s="69"/>
      <c r="L29" s="70">
        <f>ROUND(L28/L27,2)</f>
        <v>3.41</v>
      </c>
      <c r="M29" s="71"/>
    </row>
    <row r="30" spans="2:13" ht="16.5" thickBot="1" x14ac:dyDescent="0.3">
      <c r="G30" s="58" t="s">
        <v>67</v>
      </c>
      <c r="H30" s="59"/>
      <c r="I30" s="60"/>
      <c r="J30" s="60"/>
      <c r="K30" s="60"/>
      <c r="L30" s="60">
        <f>L29*24</f>
        <v>81.84</v>
      </c>
      <c r="M30" s="61"/>
    </row>
  </sheetData>
  <mergeCells count="24">
    <mergeCell ref="D8:E8"/>
    <mergeCell ref="B7:B8"/>
    <mergeCell ref="D7:E7"/>
    <mergeCell ref="B9:B11"/>
    <mergeCell ref="B14:B16"/>
    <mergeCell ref="D11:E11"/>
    <mergeCell ref="D10:E10"/>
    <mergeCell ref="D9:E9"/>
    <mergeCell ref="D17:E17"/>
    <mergeCell ref="D14:E14"/>
    <mergeCell ref="D15:E15"/>
    <mergeCell ref="D16:E16"/>
    <mergeCell ref="D18:E18"/>
    <mergeCell ref="B12:B13"/>
    <mergeCell ref="D12:E12"/>
    <mergeCell ref="D13:E13"/>
    <mergeCell ref="B1:E1"/>
    <mergeCell ref="B2:C2"/>
    <mergeCell ref="D2:E2"/>
    <mergeCell ref="B3:B6"/>
    <mergeCell ref="D3:E3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Mathys Pellen</dc:creator>
  <cp:lastModifiedBy>Mathys Pellen</cp:lastModifiedBy>
  <dcterms:created xsi:type="dcterms:W3CDTF">2025-12-11T09:04:55Z</dcterms:created>
  <dcterms:modified xsi:type="dcterms:W3CDTF">2025-12-11T11:35:37Z</dcterms:modified>
</cp:coreProperties>
</file>